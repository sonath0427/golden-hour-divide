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athsanvidakirindage/Desktop/SriLanka_ICU_Research/Phase3/"/>
    </mc:Choice>
  </mc:AlternateContent>
  <xr:revisionPtr revIDLastSave="0" documentId="13_ncr:1_{9294DDB9-BCB5-3C46-AC25-A4A48B7FEB83}" xr6:coauthVersionLast="47" xr6:coauthVersionMax="47" xr10:uidLastSave="{00000000-0000-0000-0000-000000000000}"/>
  <bookViews>
    <workbookView xWindow="0" yWindow="660" windowWidth="29400" windowHeight="16860" xr2:uid="{3CE5234F-A76F-354D-81FD-7B61C5DF0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3" i="1" l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" i="1"/>
  <c r="BP3" i="1"/>
  <c r="BP4" i="1"/>
  <c r="BP5" i="1"/>
  <c r="BP13" i="1"/>
  <c r="BP19" i="1"/>
  <c r="BP21" i="1"/>
  <c r="BO3" i="1"/>
  <c r="BO4" i="1"/>
  <c r="BO5" i="1"/>
  <c r="BO6" i="1"/>
  <c r="BP6" i="1" s="1"/>
  <c r="BO7" i="1"/>
  <c r="BP7" i="1" s="1"/>
  <c r="BO8" i="1"/>
  <c r="BP8" i="1" s="1"/>
  <c r="BO9" i="1"/>
  <c r="BP9" i="1" s="1"/>
  <c r="BO10" i="1"/>
  <c r="BP10" i="1" s="1"/>
  <c r="BO11" i="1"/>
  <c r="BP11" i="1" s="1"/>
  <c r="BO12" i="1"/>
  <c r="BP12" i="1" s="1"/>
  <c r="BO13" i="1"/>
  <c r="BO14" i="1"/>
  <c r="BP14" i="1" s="1"/>
  <c r="BO15" i="1"/>
  <c r="BP15" i="1" s="1"/>
  <c r="BO16" i="1"/>
  <c r="BP16" i="1" s="1"/>
  <c r="BO17" i="1"/>
  <c r="BP17" i="1" s="1"/>
  <c r="BO18" i="1"/>
  <c r="BP18" i="1" s="1"/>
  <c r="BO19" i="1"/>
  <c r="BO20" i="1"/>
  <c r="BP20" i="1" s="1"/>
  <c r="BQ20" i="1" s="1"/>
  <c r="BR20" i="1" s="1"/>
  <c r="BO21" i="1"/>
  <c r="BO22" i="1"/>
  <c r="BP22" i="1" s="1"/>
  <c r="BO23" i="1"/>
  <c r="BP23" i="1" s="1"/>
  <c r="BO24" i="1"/>
  <c r="BP24" i="1" s="1"/>
  <c r="BO25" i="1"/>
  <c r="BP25" i="1" s="1"/>
  <c r="BO26" i="1"/>
  <c r="BP26" i="1" s="1"/>
  <c r="BO2" i="1"/>
  <c r="BP2" i="1" s="1"/>
  <c r="BL5" i="1"/>
  <c r="BL6" i="1"/>
  <c r="BL7" i="1"/>
  <c r="BL14" i="1"/>
  <c r="BL20" i="1"/>
  <c r="BL21" i="1"/>
  <c r="BL22" i="1"/>
  <c r="BK2" i="1"/>
  <c r="BK3" i="1"/>
  <c r="BL3" i="1" s="1"/>
  <c r="BK4" i="1"/>
  <c r="BL4" i="1" s="1"/>
  <c r="BK5" i="1"/>
  <c r="BK6" i="1"/>
  <c r="BK7" i="1"/>
  <c r="BK8" i="1"/>
  <c r="BL8" i="1" s="1"/>
  <c r="BK9" i="1"/>
  <c r="BL9" i="1" s="1"/>
  <c r="BK10" i="1"/>
  <c r="BL10" i="1" s="1"/>
  <c r="BM10" i="1" s="1"/>
  <c r="BN10" i="1" s="1"/>
  <c r="BK11" i="1"/>
  <c r="BL11" i="1" s="1"/>
  <c r="BK12" i="1"/>
  <c r="BL12" i="1" s="1"/>
  <c r="BK13" i="1"/>
  <c r="BL13" i="1" s="1"/>
  <c r="BK14" i="1"/>
  <c r="BK15" i="1"/>
  <c r="BL15" i="1" s="1"/>
  <c r="BK16" i="1"/>
  <c r="BL16" i="1" s="1"/>
  <c r="BK17" i="1"/>
  <c r="BL17" i="1" s="1"/>
  <c r="BK18" i="1"/>
  <c r="BL18" i="1" s="1"/>
  <c r="BK19" i="1"/>
  <c r="BL19" i="1" s="1"/>
  <c r="BK20" i="1"/>
  <c r="BK21" i="1"/>
  <c r="BK22" i="1"/>
  <c r="BK23" i="1"/>
  <c r="BL23" i="1" s="1"/>
  <c r="BK24" i="1"/>
  <c r="BL24" i="1" s="1"/>
  <c r="BK25" i="1"/>
  <c r="BL25" i="1" s="1"/>
  <c r="BK26" i="1"/>
  <c r="BL26" i="1" s="1"/>
  <c r="BI3" i="1"/>
  <c r="BJ3" i="1" s="1"/>
  <c r="BH3" i="1"/>
  <c r="BH9" i="1"/>
  <c r="BH14" i="1"/>
  <c r="BH15" i="1"/>
  <c r="BH16" i="1"/>
  <c r="BH17" i="1"/>
  <c r="BH18" i="1"/>
  <c r="BH24" i="1"/>
  <c r="BH25" i="1"/>
  <c r="BH26" i="1"/>
  <c r="BH2" i="1"/>
  <c r="BG3" i="1"/>
  <c r="BG4" i="1"/>
  <c r="BH4" i="1" s="1"/>
  <c r="BG5" i="1"/>
  <c r="BH5" i="1" s="1"/>
  <c r="BG6" i="1"/>
  <c r="BH6" i="1" s="1"/>
  <c r="BG7" i="1"/>
  <c r="BH7" i="1" s="1"/>
  <c r="BG8" i="1"/>
  <c r="BH8" i="1" s="1"/>
  <c r="BG9" i="1"/>
  <c r="BG10" i="1"/>
  <c r="BH10" i="1" s="1"/>
  <c r="BG11" i="1"/>
  <c r="BH11" i="1" s="1"/>
  <c r="BI11" i="1" s="1"/>
  <c r="BJ11" i="1" s="1"/>
  <c r="BG12" i="1"/>
  <c r="BH12" i="1" s="1"/>
  <c r="BG13" i="1"/>
  <c r="BH13" i="1" s="1"/>
  <c r="BG14" i="1"/>
  <c r="BG15" i="1"/>
  <c r="BG16" i="1"/>
  <c r="BG17" i="1"/>
  <c r="BG18" i="1"/>
  <c r="BG19" i="1"/>
  <c r="BH19" i="1" s="1"/>
  <c r="BI19" i="1" s="1"/>
  <c r="BJ19" i="1" s="1"/>
  <c r="BG20" i="1"/>
  <c r="BH20" i="1" s="1"/>
  <c r="BG21" i="1"/>
  <c r="BH21" i="1" s="1"/>
  <c r="BG22" i="1"/>
  <c r="BH22" i="1" s="1"/>
  <c r="BG23" i="1"/>
  <c r="BH23" i="1" s="1"/>
  <c r="BG24" i="1"/>
  <c r="BG25" i="1"/>
  <c r="BG26" i="1"/>
  <c r="BG2" i="1"/>
  <c r="BE26" i="1"/>
  <c r="BF26" i="1" s="1"/>
  <c r="BD3" i="1"/>
  <c r="BD4" i="1"/>
  <c r="BD5" i="1"/>
  <c r="BD6" i="1"/>
  <c r="BD7" i="1"/>
  <c r="BD8" i="1"/>
  <c r="BD9" i="1"/>
  <c r="BE9" i="1" s="1"/>
  <c r="BF9" i="1" s="1"/>
  <c r="BD10" i="1"/>
  <c r="BD11" i="1"/>
  <c r="BD12" i="1"/>
  <c r="BD13" i="1"/>
  <c r="BD14" i="1"/>
  <c r="BD15" i="1"/>
  <c r="BD16" i="1"/>
  <c r="BD17" i="1"/>
  <c r="BE17" i="1" s="1"/>
  <c r="BF17" i="1" s="1"/>
  <c r="BD18" i="1"/>
  <c r="BD19" i="1"/>
  <c r="BD20" i="1"/>
  <c r="BD21" i="1"/>
  <c r="BD22" i="1"/>
  <c r="BD23" i="1"/>
  <c r="BD24" i="1"/>
  <c r="BD25" i="1"/>
  <c r="BE25" i="1" s="1"/>
  <c r="BF25" i="1" s="1"/>
  <c r="BD26" i="1"/>
  <c r="BD2" i="1"/>
  <c r="BC34" i="1"/>
  <c r="BC32" i="1"/>
  <c r="BA9" i="1"/>
  <c r="BB9" i="1" s="1"/>
  <c r="BA11" i="1"/>
  <c r="BB11" i="1" s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BA19" i="1" s="1"/>
  <c r="BB19" i="1" s="1"/>
  <c r="AZ20" i="1"/>
  <c r="BA20" i="1" s="1"/>
  <c r="BB20" i="1" s="1"/>
  <c r="AZ21" i="1"/>
  <c r="AZ22" i="1"/>
  <c r="AZ23" i="1"/>
  <c r="AZ24" i="1"/>
  <c r="AZ25" i="1"/>
  <c r="AZ26" i="1"/>
  <c r="AZ2" i="1"/>
  <c r="BA2" i="1" s="1"/>
  <c r="BB2" i="1" s="1"/>
  <c r="AY34" i="1"/>
  <c r="AY3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" i="1"/>
  <c r="AW34" i="1"/>
  <c r="AW32" i="1"/>
  <c r="AU9" i="1"/>
  <c r="AV9" i="1" s="1"/>
  <c r="AU12" i="1"/>
  <c r="AV12" i="1" s="1"/>
  <c r="AU16" i="1"/>
  <c r="AV16" i="1" s="1"/>
  <c r="AU25" i="1"/>
  <c r="AV25" i="1" s="1"/>
  <c r="AT3" i="1"/>
  <c r="AU3" i="1" s="1"/>
  <c r="AV3" i="1" s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U19" i="1" s="1"/>
  <c r="AV19" i="1" s="1"/>
  <c r="AT20" i="1"/>
  <c r="AT21" i="1"/>
  <c r="AT22" i="1"/>
  <c r="AT23" i="1"/>
  <c r="AT24" i="1"/>
  <c r="AT25" i="1"/>
  <c r="AT26" i="1"/>
  <c r="AT2" i="1"/>
  <c r="AU2" i="1" s="1"/>
  <c r="AV2" i="1" s="1"/>
  <c r="AS34" i="1"/>
  <c r="AS32" i="1"/>
  <c r="AQ9" i="1"/>
  <c r="AR9" i="1" s="1"/>
  <c r="AP3" i="1"/>
  <c r="AP9" i="1"/>
  <c r="AP14" i="1"/>
  <c r="AP16" i="1"/>
  <c r="AP17" i="1"/>
  <c r="AP21" i="1"/>
  <c r="AP22" i="1"/>
  <c r="AP23" i="1"/>
  <c r="AP24" i="1"/>
  <c r="AP25" i="1"/>
  <c r="AO3" i="1"/>
  <c r="AO4" i="1"/>
  <c r="AP4" i="1" s="1"/>
  <c r="AO5" i="1"/>
  <c r="AP5" i="1" s="1"/>
  <c r="AO6" i="1"/>
  <c r="AP6" i="1" s="1"/>
  <c r="AO7" i="1"/>
  <c r="AP7" i="1" s="1"/>
  <c r="AO8" i="1"/>
  <c r="AP8" i="1" s="1"/>
  <c r="AO9" i="1"/>
  <c r="AO10" i="1"/>
  <c r="AP10" i="1" s="1"/>
  <c r="AQ10" i="1" s="1"/>
  <c r="AR10" i="1" s="1"/>
  <c r="AO11" i="1"/>
  <c r="AP11" i="1" s="1"/>
  <c r="AQ11" i="1" s="1"/>
  <c r="AR11" i="1" s="1"/>
  <c r="AO12" i="1"/>
  <c r="AP12" i="1" s="1"/>
  <c r="AO13" i="1"/>
  <c r="AP13" i="1" s="1"/>
  <c r="AO14" i="1"/>
  <c r="AO15" i="1"/>
  <c r="AP15" i="1" s="1"/>
  <c r="AO16" i="1"/>
  <c r="AO17" i="1"/>
  <c r="AO18" i="1"/>
  <c r="AP18" i="1" s="1"/>
  <c r="AQ18" i="1" s="1"/>
  <c r="AR18" i="1" s="1"/>
  <c r="AO19" i="1"/>
  <c r="AP19" i="1" s="1"/>
  <c r="AQ19" i="1" s="1"/>
  <c r="AR19" i="1" s="1"/>
  <c r="AO20" i="1"/>
  <c r="AP20" i="1" s="1"/>
  <c r="AQ20" i="1" s="1"/>
  <c r="AR20" i="1" s="1"/>
  <c r="AO21" i="1"/>
  <c r="AO22" i="1"/>
  <c r="AO23" i="1"/>
  <c r="AO24" i="1"/>
  <c r="AO25" i="1"/>
  <c r="AO26" i="1"/>
  <c r="AP26" i="1" s="1"/>
  <c r="AO2" i="1"/>
  <c r="AN3" i="1"/>
  <c r="AN4" i="1"/>
  <c r="BI4" i="1" s="1"/>
  <c r="BJ4" i="1" s="1"/>
  <c r="AN5" i="1"/>
  <c r="AN6" i="1"/>
  <c r="AN7" i="1"/>
  <c r="AN8" i="1"/>
  <c r="AN9" i="1"/>
  <c r="AN10" i="1"/>
  <c r="AN11" i="1"/>
  <c r="BE11" i="1" s="1"/>
  <c r="BF11" i="1" s="1"/>
  <c r="AN12" i="1"/>
  <c r="BI12" i="1" s="1"/>
  <c r="BJ12" i="1" s="1"/>
  <c r="AN13" i="1"/>
  <c r="AN14" i="1"/>
  <c r="AN15" i="1"/>
  <c r="AN16" i="1"/>
  <c r="AN17" i="1"/>
  <c r="AN18" i="1"/>
  <c r="BE18" i="1" s="1"/>
  <c r="BF18" i="1" s="1"/>
  <c r="AN19" i="1"/>
  <c r="AN20" i="1"/>
  <c r="BI20" i="1" s="1"/>
  <c r="BJ20" i="1" s="1"/>
  <c r="AN21" i="1"/>
  <c r="AN22" i="1"/>
  <c r="AN23" i="1"/>
  <c r="AN24" i="1"/>
  <c r="AN25" i="1"/>
  <c r="AN26" i="1"/>
  <c r="AN2" i="1"/>
  <c r="BE2" i="1" s="1"/>
  <c r="BF2" i="1" s="1"/>
  <c r="M34" i="1"/>
  <c r="M32" i="1"/>
  <c r="AM26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" i="1"/>
  <c r="AL3" i="1"/>
  <c r="AL4" i="1"/>
  <c r="AL5" i="1"/>
  <c r="AL6" i="1"/>
  <c r="AL7" i="1"/>
  <c r="AL8" i="1"/>
  <c r="BA8" i="1" s="1"/>
  <c r="BB8" i="1" s="1"/>
  <c r="AL9" i="1"/>
  <c r="AL10" i="1"/>
  <c r="AL11" i="1"/>
  <c r="AL12" i="1"/>
  <c r="AL13" i="1"/>
  <c r="AL14" i="1"/>
  <c r="AL15" i="1"/>
  <c r="AL16" i="1"/>
  <c r="BE16" i="1" s="1"/>
  <c r="BF16" i="1" s="1"/>
  <c r="AL17" i="1"/>
  <c r="AL18" i="1"/>
  <c r="AL19" i="1"/>
  <c r="AL20" i="1"/>
  <c r="AL21" i="1"/>
  <c r="AL22" i="1"/>
  <c r="AL23" i="1"/>
  <c r="AL24" i="1"/>
  <c r="AL25" i="1"/>
  <c r="AL26" i="1"/>
  <c r="AL2" i="1"/>
  <c r="AK3" i="1"/>
  <c r="AK4" i="1"/>
  <c r="AK5" i="1"/>
  <c r="AK6" i="1"/>
  <c r="AK7" i="1"/>
  <c r="AU7" i="1" s="1"/>
  <c r="AV7" i="1" s="1"/>
  <c r="AK8" i="1"/>
  <c r="AK9" i="1"/>
  <c r="BQ9" i="1" s="1"/>
  <c r="BR9" i="1" s="1"/>
  <c r="AK10" i="1"/>
  <c r="AK11" i="1"/>
  <c r="AK12" i="1"/>
  <c r="AK13" i="1"/>
  <c r="AK14" i="1"/>
  <c r="AK15" i="1"/>
  <c r="AK16" i="1"/>
  <c r="AK17" i="1"/>
  <c r="AK18" i="1"/>
  <c r="AK19" i="1"/>
  <c r="AK20" i="1"/>
  <c r="AU20" i="1" s="1"/>
  <c r="AV20" i="1" s="1"/>
  <c r="AK21" i="1"/>
  <c r="BQ21" i="1" s="1"/>
  <c r="BR21" i="1" s="1"/>
  <c r="AK22" i="1"/>
  <c r="AK23" i="1"/>
  <c r="AK24" i="1"/>
  <c r="AK25" i="1"/>
  <c r="AK26" i="1"/>
  <c r="AK2" i="1"/>
  <c r="AJ34" i="1"/>
  <c r="AJ32" i="1"/>
  <c r="C34" i="1"/>
  <c r="C32" i="1"/>
  <c r="B34" i="1"/>
  <c r="B32" i="1"/>
  <c r="AI6" i="1"/>
  <c r="AI7" i="1"/>
  <c r="AI8" i="1"/>
  <c r="AI9" i="1"/>
  <c r="AI11" i="1"/>
  <c r="AI15" i="1"/>
  <c r="AI16" i="1"/>
  <c r="AI24" i="1"/>
  <c r="AI25" i="1"/>
  <c r="AI26" i="1"/>
  <c r="AI2" i="1"/>
  <c r="AG5" i="1"/>
  <c r="AG8" i="1"/>
  <c r="AG12" i="1"/>
  <c r="AG14" i="1"/>
  <c r="AG18" i="1"/>
  <c r="AG20" i="1"/>
  <c r="AG21" i="1"/>
  <c r="AF3" i="1"/>
  <c r="AF4" i="1"/>
  <c r="AG4" i="1" s="1"/>
  <c r="AF5" i="1"/>
  <c r="AF6" i="1"/>
  <c r="AG6" i="1" s="1"/>
  <c r="AF7" i="1"/>
  <c r="AG7" i="1" s="1"/>
  <c r="AF8" i="1"/>
  <c r="AF9" i="1"/>
  <c r="AF10" i="1"/>
  <c r="AF11" i="1"/>
  <c r="AF12" i="1"/>
  <c r="AF13" i="1"/>
  <c r="AF14" i="1"/>
  <c r="AF15" i="1"/>
  <c r="AG15" i="1" s="1"/>
  <c r="AF16" i="1"/>
  <c r="AG16" i="1" s="1"/>
  <c r="AF17" i="1"/>
  <c r="AF18" i="1"/>
  <c r="AF19" i="1"/>
  <c r="AF20" i="1"/>
  <c r="AF21" i="1"/>
  <c r="AF22" i="1"/>
  <c r="AG22" i="1" s="1"/>
  <c r="AF23" i="1"/>
  <c r="AG23" i="1" s="1"/>
  <c r="AF24" i="1"/>
  <c r="AG24" i="1" s="1"/>
  <c r="AF25" i="1"/>
  <c r="AG25" i="1" s="1"/>
  <c r="AF26" i="1"/>
  <c r="AF2" i="1"/>
  <c r="AE2" i="1"/>
  <c r="AE3" i="1"/>
  <c r="AE4" i="1"/>
  <c r="AE5" i="1"/>
  <c r="AE6" i="1"/>
  <c r="AE7" i="1"/>
  <c r="AE8" i="1"/>
  <c r="AE9" i="1"/>
  <c r="AG9" i="1" s="1"/>
  <c r="AE10" i="1"/>
  <c r="AE11" i="1"/>
  <c r="AE12" i="1"/>
  <c r="AE13" i="1"/>
  <c r="AE14" i="1"/>
  <c r="AI14" i="1" s="1"/>
  <c r="AE15" i="1"/>
  <c r="AE16" i="1"/>
  <c r="AE17" i="1"/>
  <c r="AG17" i="1" s="1"/>
  <c r="AE18" i="1"/>
  <c r="AI18" i="1" s="1"/>
  <c r="AE19" i="1"/>
  <c r="AE20" i="1"/>
  <c r="AE21" i="1"/>
  <c r="AI21" i="1" s="1"/>
  <c r="AE22" i="1"/>
  <c r="AI22" i="1" s="1"/>
  <c r="AE23" i="1"/>
  <c r="AI23" i="1" s="1"/>
  <c r="AE24" i="1"/>
  <c r="AE25" i="1"/>
  <c r="AE26" i="1"/>
  <c r="AG26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" i="1"/>
  <c r="BL2" i="1" l="1"/>
  <c r="BK34" i="1"/>
  <c r="BQ23" i="1"/>
  <c r="BR23" i="1" s="1"/>
  <c r="BE23" i="1"/>
  <c r="BF23" i="1" s="1"/>
  <c r="BA23" i="1"/>
  <c r="BB23" i="1" s="1"/>
  <c r="AU23" i="1"/>
  <c r="AV23" i="1" s="1"/>
  <c r="AQ23" i="1"/>
  <c r="AR23" i="1" s="1"/>
  <c r="BE24" i="1"/>
  <c r="BF24" i="1" s="1"/>
  <c r="AU24" i="1"/>
  <c r="AV24" i="1" s="1"/>
  <c r="BI23" i="1"/>
  <c r="BJ23" i="1" s="1"/>
  <c r="AU22" i="1"/>
  <c r="AV22" i="1" s="1"/>
  <c r="BE22" i="1"/>
  <c r="BF22" i="1" s="1"/>
  <c r="BQ22" i="1"/>
  <c r="BR22" i="1" s="1"/>
  <c r="AQ22" i="1"/>
  <c r="AR22" i="1" s="1"/>
  <c r="BA22" i="1"/>
  <c r="BB22" i="1" s="1"/>
  <c r="BA14" i="1"/>
  <c r="BB14" i="1" s="1"/>
  <c r="BE14" i="1"/>
  <c r="BF14" i="1" s="1"/>
  <c r="AU14" i="1"/>
  <c r="AV14" i="1" s="1"/>
  <c r="BQ14" i="1"/>
  <c r="BR14" i="1" s="1"/>
  <c r="BM14" i="1"/>
  <c r="BN14" i="1" s="1"/>
  <c r="AQ14" i="1"/>
  <c r="AR14" i="1" s="1"/>
  <c r="BQ6" i="1"/>
  <c r="BR6" i="1" s="1"/>
  <c r="BM6" i="1"/>
  <c r="BN6" i="1" s="1"/>
  <c r="AQ6" i="1"/>
  <c r="AR6" i="1" s="1"/>
  <c r="AU6" i="1"/>
  <c r="AV6" i="1" s="1"/>
  <c r="BA6" i="1"/>
  <c r="BB6" i="1" s="1"/>
  <c r="BI6" i="1"/>
  <c r="BJ6" i="1" s="1"/>
  <c r="AQ4" i="1"/>
  <c r="AR4" i="1" s="1"/>
  <c r="BI22" i="1"/>
  <c r="BJ22" i="1" s="1"/>
  <c r="BQ15" i="1"/>
  <c r="BR15" i="1" s="1"/>
  <c r="BE15" i="1"/>
  <c r="BF15" i="1" s="1"/>
  <c r="AQ15" i="1"/>
  <c r="AR15" i="1" s="1"/>
  <c r="BA15" i="1"/>
  <c r="BB15" i="1" s="1"/>
  <c r="AU15" i="1"/>
  <c r="AV15" i="1" s="1"/>
  <c r="BI15" i="1"/>
  <c r="BJ15" i="1" s="1"/>
  <c r="BM15" i="1"/>
  <c r="BN15" i="1" s="1"/>
  <c r="BM8" i="1"/>
  <c r="BN8" i="1" s="1"/>
  <c r="AQ8" i="1"/>
  <c r="AR8" i="1" s="1"/>
  <c r="BK32" i="1"/>
  <c r="AI13" i="1"/>
  <c r="BI13" i="1"/>
  <c r="BJ13" i="1" s="1"/>
  <c r="AQ13" i="1"/>
  <c r="AR13" i="1" s="1"/>
  <c r="AU13" i="1"/>
  <c r="AV13" i="1" s="1"/>
  <c r="BE13" i="1"/>
  <c r="BF13" i="1" s="1"/>
  <c r="BQ13" i="1"/>
  <c r="BR13" i="1" s="1"/>
  <c r="BA13" i="1"/>
  <c r="BB13" i="1" s="1"/>
  <c r="AI19" i="1"/>
  <c r="AI3" i="1"/>
  <c r="BE4" i="1"/>
  <c r="BF4" i="1" s="1"/>
  <c r="BI14" i="1"/>
  <c r="BJ14" i="1" s="1"/>
  <c r="AI10" i="1"/>
  <c r="AG10" i="1"/>
  <c r="BM13" i="1"/>
  <c r="BN13" i="1" s="1"/>
  <c r="AG2" i="1"/>
  <c r="AG19" i="1"/>
  <c r="AG11" i="1"/>
  <c r="AG3" i="1"/>
  <c r="BI18" i="1"/>
  <c r="BJ18" i="1" s="1"/>
  <c r="BE10" i="1"/>
  <c r="BF10" i="1" s="1"/>
  <c r="BI2" i="1"/>
  <c r="BJ2" i="1" s="1"/>
  <c r="BE19" i="1"/>
  <c r="BF19" i="1" s="1"/>
  <c r="AU11" i="1"/>
  <c r="AV11" i="1" s="1"/>
  <c r="BE3" i="1"/>
  <c r="BF3" i="1" s="1"/>
  <c r="BE8" i="1"/>
  <c r="BF8" i="1" s="1"/>
  <c r="BQ7" i="1"/>
  <c r="BR7" i="1" s="1"/>
  <c r="BE7" i="1"/>
  <c r="BF7" i="1" s="1"/>
  <c r="BM7" i="1"/>
  <c r="BN7" i="1" s="1"/>
  <c r="AQ7" i="1"/>
  <c r="AR7" i="1" s="1"/>
  <c r="BA7" i="1"/>
  <c r="BB7" i="1" s="1"/>
  <c r="BI7" i="1"/>
  <c r="BJ7" i="1" s="1"/>
  <c r="BA16" i="1"/>
  <c r="BB16" i="1" s="1"/>
  <c r="BI16" i="1"/>
  <c r="BJ16" i="1" s="1"/>
  <c r="AI5" i="1"/>
  <c r="BI21" i="1"/>
  <c r="BJ21" i="1" s="1"/>
  <c r="AQ21" i="1"/>
  <c r="AR21" i="1" s="1"/>
  <c r="BE21" i="1"/>
  <c r="BF21" i="1" s="1"/>
  <c r="BM21" i="1"/>
  <c r="BN21" i="1" s="1"/>
  <c r="BA21" i="1"/>
  <c r="BB21" i="1" s="1"/>
  <c r="AU21" i="1"/>
  <c r="AV21" i="1" s="1"/>
  <c r="BI5" i="1"/>
  <c r="BJ5" i="1" s="1"/>
  <c r="AQ5" i="1"/>
  <c r="AR5" i="1" s="1"/>
  <c r="BA5" i="1"/>
  <c r="BB5" i="1" s="1"/>
  <c r="AU5" i="1"/>
  <c r="AV5" i="1" s="1"/>
  <c r="BE5" i="1"/>
  <c r="BF5" i="1" s="1"/>
  <c r="BQ5" i="1"/>
  <c r="BR5" i="1" s="1"/>
  <c r="BM5" i="1"/>
  <c r="BN5" i="1" s="1"/>
  <c r="AO34" i="1"/>
  <c r="AP2" i="1"/>
  <c r="AQ2" i="1" s="1"/>
  <c r="AR2" i="1" s="1"/>
  <c r="AO32" i="1"/>
  <c r="AU8" i="1"/>
  <c r="AV8" i="1" s="1"/>
  <c r="BM23" i="1"/>
  <c r="BN23" i="1" s="1"/>
  <c r="AG13" i="1"/>
  <c r="BA12" i="1"/>
  <c r="BB12" i="1" s="1"/>
  <c r="BM22" i="1"/>
  <c r="BN22" i="1" s="1"/>
  <c r="AI17" i="1"/>
  <c r="BQ25" i="1"/>
  <c r="BR25" i="1" s="1"/>
  <c r="AQ25" i="1"/>
  <c r="AR25" i="1" s="1"/>
  <c r="BA25" i="1"/>
  <c r="BB25" i="1" s="1"/>
  <c r="BM25" i="1"/>
  <c r="BN25" i="1" s="1"/>
  <c r="BI25" i="1"/>
  <c r="BJ25" i="1" s="1"/>
  <c r="BQ17" i="1"/>
  <c r="BR17" i="1" s="1"/>
  <c r="BI17" i="1"/>
  <c r="BJ17" i="1" s="1"/>
  <c r="AQ17" i="1"/>
  <c r="AR17" i="1" s="1"/>
  <c r="BM17" i="1"/>
  <c r="BN17" i="1" s="1"/>
  <c r="AQ26" i="1"/>
  <c r="AR26" i="1" s="1"/>
  <c r="BM18" i="1"/>
  <c r="BN18" i="1" s="1"/>
  <c r="BI10" i="1"/>
  <c r="BJ10" i="1" s="1"/>
  <c r="AU17" i="1"/>
  <c r="AV17" i="1" s="1"/>
  <c r="BA17" i="1"/>
  <c r="BB17" i="1" s="1"/>
  <c r="BE6" i="1"/>
  <c r="BF6" i="1" s="1"/>
  <c r="BA4" i="1"/>
  <c r="BB4" i="1" s="1"/>
  <c r="BE20" i="1"/>
  <c r="BF20" i="1" s="1"/>
  <c r="AI20" i="1"/>
  <c r="AI12" i="1"/>
  <c r="AI4" i="1"/>
  <c r="BQ24" i="1"/>
  <c r="BR24" i="1" s="1"/>
  <c r="BQ16" i="1"/>
  <c r="BR16" i="1" s="1"/>
  <c r="BQ8" i="1"/>
  <c r="BR8" i="1" s="1"/>
  <c r="AQ12" i="1"/>
  <c r="AR12" i="1" s="1"/>
  <c r="AQ3" i="1"/>
  <c r="AR3" i="1" s="1"/>
  <c r="BA3" i="1"/>
  <c r="BB3" i="1" s="1"/>
  <c r="BI24" i="1"/>
  <c r="BJ24" i="1" s="1"/>
  <c r="BM24" i="1"/>
  <c r="BN24" i="1" s="1"/>
  <c r="BQ4" i="1"/>
  <c r="BR4" i="1" s="1"/>
  <c r="BM9" i="1"/>
  <c r="BN9" i="1" s="1"/>
  <c r="BM12" i="1"/>
  <c r="BN12" i="1" s="1"/>
  <c r="BQ2" i="1"/>
  <c r="BR2" i="1" s="1"/>
  <c r="BQ19" i="1"/>
  <c r="BR19" i="1" s="1"/>
  <c r="BQ11" i="1"/>
  <c r="BR11" i="1" s="1"/>
  <c r="BQ3" i="1"/>
  <c r="BR3" i="1" s="1"/>
  <c r="AQ16" i="1"/>
  <c r="AR16" i="1" s="1"/>
  <c r="BA24" i="1"/>
  <c r="BB24" i="1" s="1"/>
  <c r="BG34" i="1"/>
  <c r="BI9" i="1"/>
  <c r="BJ9" i="1" s="1"/>
  <c r="BO34" i="1"/>
  <c r="BQ12" i="1"/>
  <c r="BR12" i="1" s="1"/>
  <c r="BM20" i="1"/>
  <c r="BN20" i="1" s="1"/>
  <c r="BM4" i="1"/>
  <c r="BN4" i="1" s="1"/>
  <c r="BO32" i="1"/>
  <c r="BA26" i="1"/>
  <c r="BB26" i="1" s="1"/>
  <c r="AU26" i="1"/>
  <c r="AV26" i="1" s="1"/>
  <c r="BQ26" i="1"/>
  <c r="BR26" i="1" s="1"/>
  <c r="BA18" i="1"/>
  <c r="BB18" i="1" s="1"/>
  <c r="AU18" i="1"/>
  <c r="AV18" i="1" s="1"/>
  <c r="BQ18" i="1"/>
  <c r="BR18" i="1" s="1"/>
  <c r="BA10" i="1"/>
  <c r="BB10" i="1" s="1"/>
  <c r="AU10" i="1"/>
  <c r="AV10" i="1" s="1"/>
  <c r="BQ10" i="1"/>
  <c r="BR10" i="1" s="1"/>
  <c r="AQ24" i="1"/>
  <c r="AR24" i="1" s="1"/>
  <c r="AU4" i="1"/>
  <c r="AV4" i="1" s="1"/>
  <c r="BE12" i="1"/>
  <c r="BF12" i="1" s="1"/>
  <c r="BG32" i="1"/>
  <c r="BI26" i="1"/>
  <c r="BJ26" i="1" s="1"/>
  <c r="BI8" i="1"/>
  <c r="BJ8" i="1" s="1"/>
  <c r="BM26" i="1"/>
  <c r="BN26" i="1" s="1"/>
  <c r="BM16" i="1"/>
  <c r="BN16" i="1" s="1"/>
  <c r="BM2" i="1"/>
  <c r="BN2" i="1" s="1"/>
  <c r="BM19" i="1"/>
  <c r="BN19" i="1" s="1"/>
  <c r="BM11" i="1"/>
  <c r="BN11" i="1" s="1"/>
  <c r="BM3" i="1"/>
  <c r="BN3" i="1" s="1"/>
</calcChain>
</file>

<file path=xl/sharedStrings.xml><?xml version="1.0" encoding="utf-8"?>
<sst xmlns="http://schemas.openxmlformats.org/spreadsheetml/2006/main" count="120" uniqueCount="98">
  <si>
    <t>District</t>
  </si>
  <si>
    <t>ICU_Beds</t>
  </si>
  <si>
    <t>OT_Counts</t>
  </si>
  <si>
    <t>General Surgeons</t>
  </si>
  <si>
    <t>Neuro Surgenons</t>
  </si>
  <si>
    <t>Orthopaedic Surgens</t>
  </si>
  <si>
    <t>General Physicians</t>
  </si>
  <si>
    <t>Cardiologists</t>
  </si>
  <si>
    <t>Chest Physicans</t>
  </si>
  <si>
    <t>Neurologists</t>
  </si>
  <si>
    <t>Paediatricians</t>
  </si>
  <si>
    <t>Anaesthesiologists</t>
  </si>
  <si>
    <t>Radiologists</t>
  </si>
  <si>
    <t>Total_Specialists</t>
  </si>
  <si>
    <t>Asthma_Tot_Cases</t>
  </si>
  <si>
    <t>Asthma_Tot_Deaths</t>
  </si>
  <si>
    <t>Isc_Heart_Tot_Cases</t>
  </si>
  <si>
    <t>Isc_Heart_Tot_Deaths</t>
  </si>
  <si>
    <t>CV_Tot_Cases</t>
  </si>
  <si>
    <t>CV_Tot_Deaths</t>
  </si>
  <si>
    <t>Poisoning_Tot_Cases</t>
  </si>
  <si>
    <t>Poisoning_Tot_Deaths</t>
  </si>
  <si>
    <t>Colombo</t>
  </si>
  <si>
    <t>Gampaha</t>
  </si>
  <si>
    <t>Kalutara</t>
  </si>
  <si>
    <t>Kandy</t>
  </si>
  <si>
    <t>Matale</t>
  </si>
  <si>
    <t>Nuwara Eliya</t>
  </si>
  <si>
    <t>Galle</t>
  </si>
  <si>
    <t>Matara</t>
  </si>
  <si>
    <t>Hambantota</t>
  </si>
  <si>
    <t>Jaffna</t>
  </si>
  <si>
    <t>Kilinochchi</t>
  </si>
  <si>
    <t>Mannar</t>
  </si>
  <si>
    <t>Vavunia</t>
  </si>
  <si>
    <t>Mullaitivu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</si>
  <si>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</si>
  <si>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</si>
  <si>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</si>
  <si>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</si>
  <si>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</si>
  <si>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</si>
  <si>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</si>
  <si>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</si>
  <si>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Moneragala</t>
  </si>
  <si>
    <t>Ratnapura</t>
  </si>
  <si>
    <t>Kegalle</t>
  </si>
  <si>
    <t>Pneumonia_Tot_Cases</t>
  </si>
  <si>
    <t>Pneumonia_Tot_Deaths</t>
  </si>
  <si>
    <t>Tra_Injuries_Tot_Cases</t>
  </si>
  <si>
    <t>Tra_Injuries_Tot_Deaths</t>
  </si>
  <si>
    <t>Snake_Bites_Tot_Cases</t>
  </si>
  <si>
    <t>Snake_Bites_Tot_Deaths</t>
  </si>
  <si>
    <t>Population</t>
  </si>
  <si>
    <t>Resource Score</t>
  </si>
  <si>
    <t>Lethality Ratio</t>
  </si>
  <si>
    <t>Total Cases</t>
  </si>
  <si>
    <t>Total Deaths</t>
  </si>
  <si>
    <t>Gd</t>
  </si>
  <si>
    <t>General_NGI</t>
  </si>
  <si>
    <t>Min</t>
  </si>
  <si>
    <t>Max</t>
  </si>
  <si>
    <t>ETU Institutions</t>
  </si>
  <si>
    <t>ETU_Scaled</t>
  </si>
  <si>
    <t>ICU_Scaled</t>
  </si>
  <si>
    <t>OT_Scaled</t>
  </si>
  <si>
    <t>Radiologists_Scaleed</t>
  </si>
  <si>
    <t>Trauma_Specialized</t>
  </si>
  <si>
    <t>Trauma_Specialized_Scaled</t>
  </si>
  <si>
    <t>Trauma_Resource_Score</t>
  </si>
  <si>
    <t>NGI_Trauma</t>
  </si>
  <si>
    <t>Snake_Bites_Specialized</t>
  </si>
  <si>
    <t>Snake_Bites_Specialized_Scaled</t>
  </si>
  <si>
    <t>Snake_Bites_Resource_Score</t>
  </si>
  <si>
    <t>NGI_Snake_Bites</t>
  </si>
  <si>
    <t>Asthma_Specialized_General</t>
  </si>
  <si>
    <t>Asthma_Specialized_General_Norm</t>
  </si>
  <si>
    <t>Asthma_Specialized_Child</t>
  </si>
  <si>
    <t>Asthma_Specialized_Child_Norm</t>
  </si>
  <si>
    <t>Asthma_Resource_Score</t>
  </si>
  <si>
    <t>NGI_Asthma</t>
  </si>
  <si>
    <t>IHD_Specialized</t>
  </si>
  <si>
    <t>IHD_Specialized_Scaled</t>
  </si>
  <si>
    <t>IHD_Resource_Score</t>
  </si>
  <si>
    <t>NGI_IHD</t>
  </si>
  <si>
    <t>CV_Specialized</t>
  </si>
  <si>
    <t>CV_Specialized_Scaled</t>
  </si>
  <si>
    <t>CV_Resource_Score</t>
  </si>
  <si>
    <t>NGI_CV</t>
  </si>
  <si>
    <t>Poisoning_Specialized</t>
  </si>
  <si>
    <t>Poisoning_Specialized_Scaled</t>
  </si>
  <si>
    <t>Poisoning_Resource_Score</t>
  </si>
  <si>
    <t>NGI_Poisoning</t>
  </si>
  <si>
    <t>Pneumonia_Specialized</t>
  </si>
  <si>
    <t>Pneumonia_Specialized_Scaled</t>
  </si>
  <si>
    <t>Pneumonia_Resource_Score</t>
  </si>
  <si>
    <t>NGI_Pneumonia</t>
  </si>
  <si>
    <t>Average_Resource_Score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</si>
</sst>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56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3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56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72CF-7544-F54F-B57A-55C3FFC3A43E}">
  <dimension ref="A1:BS999"/>
  <sheetViews>
    <sheetView tabSelected="1" topLeftCell="BK1" zoomScale="105" workbookViewId="0">
      <selection activeCell="BQ1" sqref="BQ1:BQ26"/>
    </sheetView>
  </sheetViews>
  <sheetFormatPr baseColWidth="10" defaultRowHeight="16" x14ac:dyDescent="0.2"/>
  <cols>
    <col min="21" max="21" width="19.33203125" customWidth="1"/>
    <col min="22" max="22" width="17.5" customWidth="1"/>
    <col min="23" max="23" width="18.33203125" customWidth="1"/>
    <col min="24" max="24" width="20" customWidth="1"/>
    <col min="25" max="25" width="19.1640625" customWidth="1"/>
    <col min="26" max="26" width="21.1640625" customWidth="1"/>
    <col min="27" max="28" width="20" customWidth="1"/>
    <col min="29" max="29" width="16.1640625" customWidth="1"/>
    <col min="30" max="31" width="15.1640625" customWidth="1"/>
    <col min="33" max="33" width="14.83203125" customWidth="1"/>
    <col min="36" max="36" width="14.6640625" customWidth="1"/>
    <col min="37" max="37" width="16.6640625" customWidth="1"/>
    <col min="40" max="40" width="19.1640625" customWidth="1"/>
    <col min="41" max="41" width="18.33203125" customWidth="1"/>
    <col min="42" max="42" width="23.6640625" customWidth="1"/>
    <col min="43" max="43" width="20.83203125" customWidth="1"/>
    <col min="45" max="45" width="21" customWidth="1"/>
    <col min="46" max="46" width="29.1640625" customWidth="1"/>
    <col min="47" max="47" width="24.6640625" customWidth="1"/>
    <col min="48" max="48" width="15.33203125" customWidth="1"/>
    <col min="49" max="49" width="25" customWidth="1"/>
    <col min="50" max="50" width="30" customWidth="1"/>
    <col min="51" max="51" width="25.6640625" customWidth="1"/>
    <col min="52" max="52" width="29" customWidth="1"/>
    <col min="53" max="53" width="21.33203125" customWidth="1"/>
    <col min="54" max="54" width="12.33203125" customWidth="1"/>
    <col min="55" max="55" width="16.6640625" customWidth="1"/>
    <col min="56" max="56" width="21.1640625" customWidth="1"/>
    <col min="57" max="57" width="18.5" customWidth="1"/>
    <col min="59" max="59" width="15.83203125" customWidth="1"/>
    <col min="60" max="60" width="20.6640625" customWidth="1"/>
    <col min="61" max="61" width="18.5" customWidth="1"/>
    <col min="63" max="63" width="19.6640625" customWidth="1"/>
    <col min="64" max="64" width="25.83203125" customWidth="1"/>
    <col min="65" max="65" width="24.1640625" customWidth="1"/>
    <col min="66" max="66" width="15.33203125" customWidth="1"/>
    <col min="67" max="67" width="21.33203125" customWidth="1"/>
    <col min="68" max="68" width="27.1640625" customWidth="1"/>
    <col min="69" max="69" width="24.1640625" customWidth="1"/>
    <col min="70" max="70" width="17.5" customWidth="1"/>
    <col min="71" max="71" width="21.33203125" customWidth="1"/>
  </cols>
  <sheetData>
    <row r="1" spans="1:71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2" t="s">
        <v>20</v>
      </c>
      <c r="V1" s="12" t="s">
        <v>21</v>
      </c>
      <c r="W1" s="13" t="s">
        <v>47</v>
      </c>
      <c r="X1" s="13" t="s">
        <v>48</v>
      </c>
      <c r="Y1" s="14" t="s">
        <v>49</v>
      </c>
      <c r="Z1" s="14" t="s">
        <v>50</v>
      </c>
      <c r="AA1" s="15" t="s">
        <v>51</v>
      </c>
      <c r="AB1" s="15" t="s">
        <v>52</v>
      </c>
      <c r="AC1" s="16" t="s">
        <v>53</v>
      </c>
      <c r="AD1" s="18" t="s">
        <v>54</v>
      </c>
      <c r="AE1" t="s">
        <v>56</v>
      </c>
      <c r="AF1" t="s">
        <v>57</v>
      </c>
      <c r="AG1" s="18" t="s">
        <v>55</v>
      </c>
      <c r="AH1" t="s">
        <v>58</v>
      </c>
      <c r="AI1" s="18" t="s">
        <v>59</v>
      </c>
      <c r="AJ1" t="s">
        <v>62</v>
      </c>
      <c r="AK1" s="18" t="s">
        <v>63</v>
      </c>
      <c r="AL1" t="s">
        <v>64</v>
      </c>
      <c r="AM1" s="18" t="s">
        <v>65</v>
      </c>
      <c r="AN1" t="s">
        <v>66</v>
      </c>
      <c r="AO1" s="18" t="s">
        <v>67</v>
      </c>
      <c r="AP1" t="s">
        <v>68</v>
      </c>
      <c r="AQ1" s="18" t="s">
        <v>69</v>
      </c>
      <c r="AR1" s="19" t="s">
        <v>70</v>
      </c>
      <c r="AS1" t="s">
        <v>71</v>
      </c>
      <c r="AT1" t="s">
        <v>72</v>
      </c>
      <c r="AU1" t="s">
        <v>73</v>
      </c>
      <c r="AV1" s="19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s="19" t="s">
        <v>80</v>
      </c>
      <c r="BC1" t="s">
        <v>81</v>
      </c>
      <c r="BD1" t="s">
        <v>82</v>
      </c>
      <c r="BE1" t="s">
        <v>83</v>
      </c>
      <c r="BF1" s="19" t="s">
        <v>84</v>
      </c>
      <c r="BG1" t="s">
        <v>85</v>
      </c>
      <c r="BH1" t="s">
        <v>86</v>
      </c>
      <c r="BI1" t="s">
        <v>87</v>
      </c>
      <c r="BJ1" s="19" t="s">
        <v>88</v>
      </c>
      <c r="BK1" t="s">
        <v>89</v>
      </c>
      <c r="BL1" t="s">
        <v>90</v>
      </c>
      <c r="BM1" t="s">
        <v>91</v>
      </c>
      <c r="BN1" s="19" t="s">
        <v>92</v>
      </c>
      <c r="BO1" t="s">
        <v>93</v>
      </c>
      <c r="BP1" t="s">
        <v>94</v>
      </c>
      <c r="BQ1" t="s">
        <v>95</v>
      </c>
      <c r="BR1" s="19" t="s">
        <v>96</v>
      </c>
      <c r="BS1" t="s">
        <v>97</v>
      </c>
    </row>
    <row r="2" spans="1:71" x14ac:dyDescent="0.2">
      <c r="A2" s="2" t="s">
        <v>22</v>
      </c>
      <c r="B2" s="1">
        <v>329</v>
      </c>
      <c r="C2" s="1">
        <v>58</v>
      </c>
      <c r="D2" s="2">
        <v>46</v>
      </c>
      <c r="E2" s="2">
        <v>11</v>
      </c>
      <c r="F2" s="2">
        <v>23</v>
      </c>
      <c r="G2" s="2">
        <v>67</v>
      </c>
      <c r="H2" s="2">
        <v>23</v>
      </c>
      <c r="I2" s="2">
        <v>10</v>
      </c>
      <c r="J2" s="2">
        <v>14</v>
      </c>
      <c r="K2" s="2">
        <v>40</v>
      </c>
      <c r="L2" s="2">
        <v>40</v>
      </c>
      <c r="M2" s="2">
        <v>44</v>
      </c>
      <c r="N2" s="1">
        <v>318</v>
      </c>
      <c r="O2" s="1">
        <v>9976</v>
      </c>
      <c r="P2" s="1">
        <v>59</v>
      </c>
      <c r="Q2" s="1">
        <v>26445</v>
      </c>
      <c r="R2" s="1">
        <v>1435</v>
      </c>
      <c r="S2" s="1">
        <v>8525</v>
      </c>
      <c r="T2" s="1">
        <v>890</v>
      </c>
      <c r="U2">
        <v>3188</v>
      </c>
      <c r="V2">
        <v>13</v>
      </c>
      <c r="W2" s="4">
        <v>3396</v>
      </c>
      <c r="X2" s="1">
        <v>680</v>
      </c>
      <c r="Y2" s="4">
        <v>127456</v>
      </c>
      <c r="Z2" s="1">
        <v>542</v>
      </c>
      <c r="AA2" s="1">
        <v>773</v>
      </c>
      <c r="AB2" s="1">
        <v>1</v>
      </c>
      <c r="AC2" s="2">
        <v>2375000</v>
      </c>
      <c r="AD2">
        <f>((0.2*B2)+(0.3*C2)+(0.5*N2))</f>
        <v>242.2</v>
      </c>
      <c r="AE2" s="3">
        <f>(O2+Q2+S2+U2+W2+Y2+AA2)</f>
        <v>179759</v>
      </c>
      <c r="AF2">
        <f>(P2+R2+T2+V2+X2+Z2+AB2)</f>
        <v>3620</v>
      </c>
      <c r="AG2">
        <f>(AF2/AE2)</f>
        <v>2.0138073754304375E-2</v>
      </c>
      <c r="AH2" s="17">
        <v>0.229357798</v>
      </c>
      <c r="AI2">
        <f>(AE2/AD2*AH2)</f>
        <v>170.22761523815856</v>
      </c>
      <c r="AJ2" s="2">
        <v>16</v>
      </c>
      <c r="AK2">
        <f>((AJ2 - 2)/(16-2))</f>
        <v>1</v>
      </c>
      <c r="AL2">
        <f>((B2-3)/(329-3))</f>
        <v>1</v>
      </c>
      <c r="AM2">
        <f>((C2-1)/(58-1))</f>
        <v>1</v>
      </c>
      <c r="AN2">
        <f>((M2-0)/(44-0))</f>
        <v>1</v>
      </c>
      <c r="AO2">
        <f>(D2+F2+E2)</f>
        <v>80</v>
      </c>
      <c r="AP2">
        <f>((AO2-3)/(80-3))</f>
        <v>1</v>
      </c>
      <c r="AQ2">
        <f>((0.1*AK2)+(0.2*AL2)+(0.2*AM2)+(0.35*AP2)+(0.15*AN2))</f>
        <v>1</v>
      </c>
      <c r="AR2">
        <f>((Y2*AH2)/AQ2)</f>
        <v>29233.027501888002</v>
      </c>
      <c r="AS2" s="2">
        <v>67</v>
      </c>
      <c r="AT2">
        <f>((AS2 - 2)/(67-2))</f>
        <v>1</v>
      </c>
      <c r="AU2">
        <f>((0.3*AK2) + (0.2 * AL2) + (0.5 * AT2))</f>
        <v>1</v>
      </c>
      <c r="AV2">
        <f>((AA2 * AH2)/AU2)</f>
        <v>177.29357785400001</v>
      </c>
      <c r="AW2" s="2">
        <v>10</v>
      </c>
      <c r="AX2">
        <f>((AW2-0)/(10-0))</f>
        <v>1</v>
      </c>
      <c r="AY2" s="2">
        <v>40</v>
      </c>
      <c r="AZ2">
        <f>((AY2-1)/(40-1))</f>
        <v>1</v>
      </c>
      <c r="BA2">
        <f>((0.2*AK2)+(0.1*AL2)+(0.5*AX2)+(0.2*AZ2))</f>
        <v>1</v>
      </c>
      <c r="BB2">
        <f>((O2*AH2)/BA2)</f>
        <v>2288.0733928479999</v>
      </c>
      <c r="BC2" s="2">
        <v>23</v>
      </c>
      <c r="BD2">
        <f>((BC2-0)/(23-0))</f>
        <v>1</v>
      </c>
      <c r="BE2">
        <f>((0.1*AK2)+(0.2*AL2)+(0.1*AM2)+(0.45*BD2)+(0.15*AN2))</f>
        <v>1</v>
      </c>
      <c r="BF2">
        <f>((Q2*AH2)/BE2)</f>
        <v>6065.36696811</v>
      </c>
      <c r="BG2">
        <f>(J2+E2)</f>
        <v>25</v>
      </c>
      <c r="BH2">
        <f>((BG2-0)/(25-0))</f>
        <v>1</v>
      </c>
      <c r="BI2">
        <f>((0.1*AK2)+(0.2*AL2)+(0.1*AM2)+(0.35 * BH2) + (0.25 * AN2))</f>
        <v>1</v>
      </c>
      <c r="BJ2">
        <f>((S2 * AH2)/BI2)</f>
        <v>1955.27522795</v>
      </c>
      <c r="BK2">
        <f>(L2+G2)</f>
        <v>107</v>
      </c>
      <c r="BL2">
        <f>((BK2-3)/(107-3))</f>
        <v>1</v>
      </c>
      <c r="BM2">
        <f>((0.2*AK2)+(0.2*AL2)+(0.6*BL2))</f>
        <v>1</v>
      </c>
      <c r="BN2">
        <f>((U2 * AH2)/BM2)</f>
        <v>731.19266002400002</v>
      </c>
      <c r="BO2">
        <f>(G2 + I2)</f>
        <v>77</v>
      </c>
      <c r="BP2">
        <f>((BO2-2)/(77-2))</f>
        <v>1</v>
      </c>
      <c r="BQ2">
        <f>((0.2*AK2)+(0.1*AL2)+(0.5*BP2)+(0.2 *AN2))</f>
        <v>1</v>
      </c>
      <c r="BR2">
        <f>((W2*AH2)/BQ2)</f>
        <v>778.89908200800005</v>
      </c>
      <c r="BS2">
        <f>((AQ2+AU2+BA2+BE2+BI2+BM2+BQ2)/7)</f>
        <v>1</v>
      </c>
    </row>
    <row r="3" spans="1:71" x14ac:dyDescent="0.2">
      <c r="A3" s="2" t="s">
        <v>23</v>
      </c>
      <c r="B3" s="1">
        <v>86</v>
      </c>
      <c r="C3" s="1">
        <v>21</v>
      </c>
      <c r="D3" s="2">
        <v>14</v>
      </c>
      <c r="E3" s="2">
        <v>0</v>
      </c>
      <c r="F3" s="2">
        <v>5</v>
      </c>
      <c r="G3" s="2">
        <v>25</v>
      </c>
      <c r="H3" s="2">
        <v>5</v>
      </c>
      <c r="I3" s="2">
        <v>6</v>
      </c>
      <c r="J3" s="2">
        <v>3</v>
      </c>
      <c r="K3" s="2">
        <v>12</v>
      </c>
      <c r="L3" s="2">
        <v>14</v>
      </c>
      <c r="M3" s="2">
        <v>11</v>
      </c>
      <c r="N3" s="1">
        <v>95</v>
      </c>
      <c r="O3" s="1">
        <v>12862</v>
      </c>
      <c r="P3" s="1">
        <v>12</v>
      </c>
      <c r="Q3" s="1">
        <v>14035</v>
      </c>
      <c r="R3" s="1">
        <v>1000</v>
      </c>
      <c r="S3" s="1">
        <v>6592</v>
      </c>
      <c r="T3" s="1">
        <v>457</v>
      </c>
      <c r="U3" s="2">
        <v>3600</v>
      </c>
      <c r="V3" s="2">
        <v>14</v>
      </c>
      <c r="W3" s="4">
        <v>2667</v>
      </c>
      <c r="X3" s="1">
        <v>703</v>
      </c>
      <c r="Y3" s="4">
        <v>86042</v>
      </c>
      <c r="Z3" s="1">
        <v>172</v>
      </c>
      <c r="AA3" s="1">
        <v>1761</v>
      </c>
      <c r="AB3" s="1">
        <v>2</v>
      </c>
      <c r="AC3" s="2">
        <v>2436000</v>
      </c>
      <c r="AD3">
        <f t="shared" ref="AD3:AD26" si="0">((0.2*B3)+(0.3*C3)+(0.5*N3))</f>
        <v>71</v>
      </c>
      <c r="AE3" s="3">
        <f t="shared" ref="AE3:AE26" si="1">(O3+Q3+S3+U3+W3+Y3+AA3)</f>
        <v>127559</v>
      </c>
      <c r="AF3">
        <f t="shared" ref="AF3:AF26" si="2">(P3+R3+T3+V3+X3+Z3+AB3)</f>
        <v>2360</v>
      </c>
      <c r="AG3">
        <f t="shared" ref="AG3:AG26" si="3">(AF3/AE3)</f>
        <v>1.8501242562265305E-2</v>
      </c>
      <c r="AH3" s="17">
        <v>0.74074074099999998</v>
      </c>
      <c r="AI3">
        <f t="shared" ref="AI3:AI26" si="4">(AE3/AD3*AH3)</f>
        <v>1330.8189884678734</v>
      </c>
      <c r="AJ3" s="2">
        <v>11</v>
      </c>
      <c r="AK3">
        <f t="shared" ref="AK3:AK26" si="5">((AJ3 - 2)/(16-2))</f>
        <v>0.6428571428571429</v>
      </c>
      <c r="AL3">
        <f t="shared" ref="AL3:AL26" si="6">((B3-3)/(329-3))</f>
        <v>0.254601226993865</v>
      </c>
      <c r="AM3">
        <f t="shared" ref="AM3:AM25" si="7">((C3-1)/(58-1))</f>
        <v>0.35087719298245612</v>
      </c>
      <c r="AN3">
        <f t="shared" ref="AN3:AN26" si="8">((M3-0)/(44-0))</f>
        <v>0.25</v>
      </c>
      <c r="AO3">
        <f t="shared" ref="AO3:AO26" si="9">(D3+F3+E3)</f>
        <v>19</v>
      </c>
      <c r="AP3">
        <f t="shared" ref="AP3:AP26" si="10">((AO3-3)/(80-3))</f>
        <v>0.20779220779220781</v>
      </c>
      <c r="AQ3">
        <f t="shared" ref="AQ3:AQ26" si="11">((0.1*AK3)+(0.2*AL3)+(0.2*AM3)+(0.35*AP3)+(0.15*AN3))</f>
        <v>0.29560867100825122</v>
      </c>
      <c r="AR3">
        <f t="shared" ref="AR3:AR26" si="12">((Y3*AH3)/AQ3)</f>
        <v>215605.36306238119</v>
      </c>
      <c r="AS3" s="2">
        <v>25</v>
      </c>
      <c r="AT3">
        <f t="shared" ref="AT3:AT26" si="13">((AS3 - 2)/(67-2))</f>
        <v>0.35384615384615387</v>
      </c>
      <c r="AU3">
        <f t="shared" ref="AU3:AU26" si="14">((0.3*AK3) + (0.2 * AL3) + (0.5 * AT3))</f>
        <v>0.42070046517899284</v>
      </c>
      <c r="AV3">
        <f t="shared" ref="AV3:AV26" si="15">((AA3 * AH3)/AU3)</f>
        <v>3100.6489245168914</v>
      </c>
      <c r="AW3" s="2">
        <v>6</v>
      </c>
      <c r="AX3">
        <f t="shared" ref="AX3:AX26" si="16">((AW3-0)/(10-0))</f>
        <v>0.6</v>
      </c>
      <c r="AY3" s="2">
        <v>12</v>
      </c>
      <c r="AZ3">
        <f t="shared" ref="AZ3:AZ26" si="17">((AY3-1)/(40-1))</f>
        <v>0.28205128205128205</v>
      </c>
      <c r="BA3">
        <f t="shared" ref="BA3:BA26" si="18">((0.2*AK3)+(0.1*AL3)+(0.5*AX3)+(0.2*AZ3))</f>
        <v>0.5104418076810715</v>
      </c>
      <c r="BB3">
        <f t="shared" ref="BB3:BB26" si="19">((O3*AH3)/BA3)</f>
        <v>18665.021687829314</v>
      </c>
      <c r="BC3" s="2">
        <v>5</v>
      </c>
      <c r="BD3">
        <f t="shared" ref="BD3:BD26" si="20">((BC3-0)/(23-0))</f>
        <v>0.21739130434782608</v>
      </c>
      <c r="BE3">
        <f t="shared" ref="BE3:BE26" si="21">((0.1*AK3)+(0.2*AL3)+(0.1*AM3)+(0.45*BD3)+(0.15*AN3))</f>
        <v>0.28561976593925464</v>
      </c>
      <c r="BF3">
        <f t="shared" ref="BF3:BF26" si="22">((Q3*AH3)/BE3)</f>
        <v>36399.07856428282</v>
      </c>
      <c r="BG3">
        <f t="shared" ref="BG3:BG26" si="23">(J3+E3)</f>
        <v>3</v>
      </c>
      <c r="BH3">
        <f t="shared" ref="BH3:BH26" si="24">((BG3-0)/(25-0))</f>
        <v>0.12</v>
      </c>
      <c r="BI3">
        <f t="shared" ref="BI3:BI26" si="25">((0.1*AK3)+(0.2*AL3)+(0.1*AM3)+(0.35 * BH3) + (0.25 * AN3))</f>
        <v>0.25479367898273292</v>
      </c>
      <c r="BJ3">
        <f t="shared" ref="BJ3:BJ26" si="26">((S3 * AH3)/BI3)</f>
        <v>19164.380310246677</v>
      </c>
      <c r="BK3">
        <f t="shared" ref="BK3:BK26" si="27">(L3+G3)</f>
        <v>39</v>
      </c>
      <c r="BL3">
        <f t="shared" ref="BL3:BL26" si="28">((BK3-3)/(107-3))</f>
        <v>0.34615384615384615</v>
      </c>
      <c r="BM3">
        <f t="shared" ref="BM3:BM26" si="29">((0.2*AK3)+(0.2*AL3)+(0.6*BL3))</f>
        <v>0.38718398166250928</v>
      </c>
      <c r="BN3">
        <f t="shared" ref="BN3:BN26" si="30">((U3 * AH3)/BM3)</f>
        <v>6887.3372709008718</v>
      </c>
      <c r="BO3">
        <f t="shared" ref="BO3:BO26" si="31">(G3 + I3)</f>
        <v>31</v>
      </c>
      <c r="BP3">
        <f t="shared" ref="BP3:BP26" si="32">((BO3-2)/(77-2))</f>
        <v>0.38666666666666666</v>
      </c>
      <c r="BQ3">
        <f t="shared" ref="BQ3:BQ26" si="33">((0.2*AK3)+(0.1*AL3)+(0.5*BP3)+(0.2 *AN3))</f>
        <v>0.39736488460414837</v>
      </c>
      <c r="BR3">
        <f t="shared" ref="BR3:BR26" si="34">((W3*AH3)/BQ3)</f>
        <v>4971.6410100379962</v>
      </c>
      <c r="BS3">
        <f t="shared" ref="BS3:BS26" si="35">((AQ3+AU3+BA3+BE3+BI3+BM3+BQ3)/7)</f>
        <v>0.36453046500813724</v>
      </c>
    </row>
    <row r="4" spans="1:71" x14ac:dyDescent="0.2">
      <c r="A4" s="2" t="s">
        <v>24</v>
      </c>
      <c r="B4" s="1">
        <v>13</v>
      </c>
      <c r="C4" s="1">
        <v>10</v>
      </c>
      <c r="D4" s="2">
        <v>7</v>
      </c>
      <c r="E4" s="2">
        <v>0</v>
      </c>
      <c r="F4" s="2">
        <v>2</v>
      </c>
      <c r="G4" s="2">
        <v>12</v>
      </c>
      <c r="H4" s="2">
        <v>4</v>
      </c>
      <c r="I4" s="2">
        <v>1</v>
      </c>
      <c r="J4" s="2">
        <v>1</v>
      </c>
      <c r="K4" s="2">
        <v>12</v>
      </c>
      <c r="L4" s="2">
        <v>5</v>
      </c>
      <c r="M4" s="2">
        <v>5</v>
      </c>
      <c r="N4" s="1">
        <v>49</v>
      </c>
      <c r="O4" s="1">
        <v>8414</v>
      </c>
      <c r="P4" s="1">
        <v>9</v>
      </c>
      <c r="Q4" s="1">
        <v>11359</v>
      </c>
      <c r="R4" s="1">
        <v>384</v>
      </c>
      <c r="S4" s="1">
        <v>4207</v>
      </c>
      <c r="T4" s="1">
        <v>214</v>
      </c>
      <c r="U4" s="2">
        <v>2914</v>
      </c>
      <c r="V4" s="2">
        <v>18</v>
      </c>
      <c r="W4" s="4">
        <v>1284</v>
      </c>
      <c r="X4" s="1">
        <v>193</v>
      </c>
      <c r="Y4" s="4">
        <v>60672</v>
      </c>
      <c r="Z4" s="1">
        <v>78</v>
      </c>
      <c r="AA4" s="1">
        <v>1482</v>
      </c>
      <c r="AB4" s="1">
        <v>2</v>
      </c>
      <c r="AC4" s="2">
        <v>1306000</v>
      </c>
      <c r="AD4">
        <f t="shared" si="0"/>
        <v>30.1</v>
      </c>
      <c r="AE4" s="3">
        <f t="shared" si="1"/>
        <v>90332</v>
      </c>
      <c r="AF4">
        <f t="shared" si="2"/>
        <v>898</v>
      </c>
      <c r="AG4">
        <f t="shared" si="3"/>
        <v>9.9411061417880708E-3</v>
      </c>
      <c r="AH4" s="17">
        <v>35.06679389</v>
      </c>
      <c r="AI4">
        <f t="shared" si="4"/>
        <v>105237.66198244119</v>
      </c>
      <c r="AJ4" s="2">
        <v>6</v>
      </c>
      <c r="AK4">
        <f t="shared" si="5"/>
        <v>0.2857142857142857</v>
      </c>
      <c r="AL4">
        <f t="shared" si="6"/>
        <v>3.0674846625766871E-2</v>
      </c>
      <c r="AM4">
        <f t="shared" si="7"/>
        <v>0.15789473684210525</v>
      </c>
      <c r="AN4">
        <f t="shared" si="8"/>
        <v>0.11363636363636363</v>
      </c>
      <c r="AO4">
        <f t="shared" si="9"/>
        <v>9</v>
      </c>
      <c r="AP4">
        <f t="shared" si="10"/>
        <v>7.792207792207792E-2</v>
      </c>
      <c r="AQ4">
        <f t="shared" si="11"/>
        <v>0.11060352708318481</v>
      </c>
      <c r="AR4">
        <f t="shared" si="12"/>
        <v>19236027.774176992</v>
      </c>
      <c r="AS4" s="2">
        <v>12</v>
      </c>
      <c r="AT4">
        <f t="shared" si="13"/>
        <v>0.15384615384615385</v>
      </c>
      <c r="AU4">
        <f t="shared" si="14"/>
        <v>0.16877233196251601</v>
      </c>
      <c r="AV4">
        <f t="shared" si="15"/>
        <v>307923.62670275959</v>
      </c>
      <c r="AW4" s="2">
        <v>1</v>
      </c>
      <c r="AX4">
        <f t="shared" si="16"/>
        <v>0.1</v>
      </c>
      <c r="AY4" s="2">
        <v>12</v>
      </c>
      <c r="AZ4">
        <f t="shared" si="17"/>
        <v>0.28205128205128205</v>
      </c>
      <c r="BA4">
        <f t="shared" si="18"/>
        <v>0.16662059821569025</v>
      </c>
      <c r="BB4">
        <f t="shared" si="19"/>
        <v>1770801.4912328869</v>
      </c>
      <c r="BC4" s="2">
        <v>4</v>
      </c>
      <c r="BD4">
        <f t="shared" si="20"/>
        <v>0.17391304347826086</v>
      </c>
      <c r="BE4">
        <f t="shared" si="21"/>
        <v>0.14580219569146441</v>
      </c>
      <c r="BF4">
        <f t="shared" si="22"/>
        <v>2731945.9073127578</v>
      </c>
      <c r="BG4">
        <f t="shared" si="23"/>
        <v>1</v>
      </c>
      <c r="BH4">
        <f t="shared" si="24"/>
        <v>0.04</v>
      </c>
      <c r="BI4">
        <f t="shared" si="25"/>
        <v>9.2904962489883391E-2</v>
      </c>
      <c r="BJ4">
        <f t="shared" si="26"/>
        <v>1587923.8088201629</v>
      </c>
      <c r="BK4">
        <f t="shared" si="27"/>
        <v>17</v>
      </c>
      <c r="BL4">
        <f t="shared" si="28"/>
        <v>0.13461538461538461</v>
      </c>
      <c r="BM4">
        <f t="shared" si="29"/>
        <v>0.14404705723724126</v>
      </c>
      <c r="BN4">
        <f t="shared" si="30"/>
        <v>709383.72053769149</v>
      </c>
      <c r="BO4">
        <f t="shared" si="31"/>
        <v>13</v>
      </c>
      <c r="BP4">
        <f t="shared" si="32"/>
        <v>0.14666666666666667</v>
      </c>
      <c r="BQ4">
        <f t="shared" si="33"/>
        <v>0.1562709478660399</v>
      </c>
      <c r="BR4">
        <f t="shared" si="34"/>
        <v>288126.25743690645</v>
      </c>
      <c r="BS4">
        <f t="shared" si="35"/>
        <v>0.14071737436371715</v>
      </c>
    </row>
    <row r="5" spans="1:71" x14ac:dyDescent="0.2">
      <c r="A5" s="2" t="s">
        <v>25</v>
      </c>
      <c r="B5" s="1">
        <v>106</v>
      </c>
      <c r="C5" s="1">
        <v>18</v>
      </c>
      <c r="D5" s="2">
        <v>4</v>
      </c>
      <c r="E5" s="2">
        <v>0</v>
      </c>
      <c r="F5" s="2">
        <v>2</v>
      </c>
      <c r="G5" s="2">
        <v>10</v>
      </c>
      <c r="H5" s="2">
        <v>1</v>
      </c>
      <c r="I5" s="2">
        <v>0</v>
      </c>
      <c r="J5" s="2">
        <v>0</v>
      </c>
      <c r="K5" s="2">
        <v>3</v>
      </c>
      <c r="L5" s="2">
        <v>2</v>
      </c>
      <c r="M5" s="2">
        <v>3</v>
      </c>
      <c r="N5" s="1">
        <v>25</v>
      </c>
      <c r="O5" s="1">
        <v>9689</v>
      </c>
      <c r="P5" s="1">
        <v>23</v>
      </c>
      <c r="Q5" s="1">
        <v>13468</v>
      </c>
      <c r="R5" s="1">
        <v>673</v>
      </c>
      <c r="S5" s="1">
        <v>7667</v>
      </c>
      <c r="T5" s="1">
        <v>514</v>
      </c>
      <c r="U5" s="2">
        <v>4371</v>
      </c>
      <c r="V5" s="2">
        <v>15</v>
      </c>
      <c r="W5" s="4">
        <v>2430</v>
      </c>
      <c r="X5" s="1">
        <v>350</v>
      </c>
      <c r="Y5" s="4">
        <v>61788</v>
      </c>
      <c r="Z5" s="1">
        <v>156</v>
      </c>
      <c r="AA5" s="1">
        <v>1249</v>
      </c>
      <c r="AB5" s="1">
        <v>2</v>
      </c>
      <c r="AC5" s="2">
        <v>1462000</v>
      </c>
      <c r="AD5">
        <f t="shared" si="0"/>
        <v>39.1</v>
      </c>
      <c r="AE5" s="3">
        <f t="shared" si="1"/>
        <v>100662</v>
      </c>
      <c r="AF5">
        <f t="shared" si="2"/>
        <v>1733</v>
      </c>
      <c r="AG5">
        <f t="shared" si="3"/>
        <v>1.7216029882179969E-2</v>
      </c>
      <c r="AH5" s="17">
        <v>5.174537988</v>
      </c>
      <c r="AI5">
        <f t="shared" si="4"/>
        <v>13321.722326037236</v>
      </c>
      <c r="AJ5" s="2">
        <v>9</v>
      </c>
      <c r="AK5">
        <f t="shared" si="5"/>
        <v>0.5</v>
      </c>
      <c r="AL5">
        <f t="shared" si="6"/>
        <v>0.31595092024539878</v>
      </c>
      <c r="AM5">
        <f t="shared" si="7"/>
        <v>0.2982456140350877</v>
      </c>
      <c r="AN5">
        <f t="shared" si="8"/>
        <v>6.8181818181818177E-2</v>
      </c>
      <c r="AO5">
        <f t="shared" si="9"/>
        <v>6</v>
      </c>
      <c r="AP5">
        <f t="shared" si="10"/>
        <v>3.896103896103896E-2</v>
      </c>
      <c r="AQ5">
        <f t="shared" si="11"/>
        <v>0.19670294321973367</v>
      </c>
      <c r="AR5">
        <f t="shared" si="12"/>
        <v>1625417.2305158905</v>
      </c>
      <c r="AS5" s="2">
        <v>10</v>
      </c>
      <c r="AT5">
        <f t="shared" si="13"/>
        <v>0.12307692307692308</v>
      </c>
      <c r="AU5">
        <f t="shared" si="14"/>
        <v>0.27472864558754129</v>
      </c>
      <c r="AV5">
        <f t="shared" si="15"/>
        <v>23525.023876523966</v>
      </c>
      <c r="AW5" s="2">
        <v>0</v>
      </c>
      <c r="AX5">
        <f t="shared" si="16"/>
        <v>0</v>
      </c>
      <c r="AY5" s="2">
        <v>3</v>
      </c>
      <c r="AZ5">
        <f t="shared" si="17"/>
        <v>5.128205128205128E-2</v>
      </c>
      <c r="BA5">
        <f t="shared" si="18"/>
        <v>0.14185150228095014</v>
      </c>
      <c r="BB5">
        <f t="shared" si="19"/>
        <v>353440.73033807409</v>
      </c>
      <c r="BC5" s="2">
        <v>1</v>
      </c>
      <c r="BD5">
        <f t="shared" si="20"/>
        <v>4.3478260869565216E-2</v>
      </c>
      <c r="BE5">
        <f t="shared" si="21"/>
        <v>0.17280723557116562</v>
      </c>
      <c r="BF5">
        <f t="shared" si="22"/>
        <v>403285.64595134632</v>
      </c>
      <c r="BG5">
        <f t="shared" si="23"/>
        <v>0</v>
      </c>
      <c r="BH5">
        <f t="shared" si="24"/>
        <v>0</v>
      </c>
      <c r="BI5">
        <f t="shared" si="25"/>
        <v>0.16006019999804311</v>
      </c>
      <c r="BJ5">
        <f t="shared" si="26"/>
        <v>247864.13333533911</v>
      </c>
      <c r="BK5">
        <f t="shared" si="27"/>
        <v>12</v>
      </c>
      <c r="BL5">
        <f t="shared" si="28"/>
        <v>8.6538461538461536E-2</v>
      </c>
      <c r="BM5">
        <f t="shared" si="29"/>
        <v>0.21511326097215666</v>
      </c>
      <c r="BN5">
        <f t="shared" si="30"/>
        <v>105144.17123022261</v>
      </c>
      <c r="BO5">
        <f t="shared" si="31"/>
        <v>10</v>
      </c>
      <c r="BP5">
        <f t="shared" si="32"/>
        <v>0.10666666666666667</v>
      </c>
      <c r="BQ5">
        <f t="shared" si="33"/>
        <v>0.19856478899423688</v>
      </c>
      <c r="BR5">
        <f t="shared" si="34"/>
        <v>63325.06067430188</v>
      </c>
      <c r="BS5">
        <f t="shared" si="35"/>
        <v>0.19426122523197531</v>
      </c>
    </row>
    <row r="6" spans="1:71" x14ac:dyDescent="0.2">
      <c r="A6" s="2" t="s">
        <v>26</v>
      </c>
      <c r="B6" s="1">
        <v>8</v>
      </c>
      <c r="C6" s="1">
        <v>6</v>
      </c>
      <c r="D6" s="2">
        <v>17</v>
      </c>
      <c r="E6" s="2">
        <v>2</v>
      </c>
      <c r="F6" s="2">
        <v>11</v>
      </c>
      <c r="G6" s="2">
        <v>37</v>
      </c>
      <c r="H6" s="2">
        <v>9</v>
      </c>
      <c r="I6" s="2">
        <v>6</v>
      </c>
      <c r="J6" s="2">
        <v>4</v>
      </c>
      <c r="K6" s="2">
        <v>14</v>
      </c>
      <c r="L6" s="2">
        <v>17</v>
      </c>
      <c r="M6" s="2">
        <v>14</v>
      </c>
      <c r="N6" s="1">
        <v>131</v>
      </c>
      <c r="O6" s="1">
        <v>3141</v>
      </c>
      <c r="P6" s="1">
        <v>15</v>
      </c>
      <c r="Q6" s="1">
        <v>4858</v>
      </c>
      <c r="R6" s="1">
        <v>183</v>
      </c>
      <c r="S6" s="1">
        <v>1819</v>
      </c>
      <c r="T6" s="1">
        <v>115</v>
      </c>
      <c r="U6" s="2">
        <v>2194</v>
      </c>
      <c r="V6" s="2">
        <v>8</v>
      </c>
      <c r="W6" s="1">
        <v>699</v>
      </c>
      <c r="X6" s="1">
        <v>164</v>
      </c>
      <c r="Y6" s="4">
        <v>30268</v>
      </c>
      <c r="Z6" s="1">
        <v>63</v>
      </c>
      <c r="AA6" s="1">
        <v>1170</v>
      </c>
      <c r="AB6" s="1">
        <v>2</v>
      </c>
      <c r="AC6" s="2">
        <v>527000</v>
      </c>
      <c r="AD6">
        <f t="shared" si="0"/>
        <v>68.900000000000006</v>
      </c>
      <c r="AE6" s="3">
        <f t="shared" si="1"/>
        <v>44149</v>
      </c>
      <c r="AF6">
        <f t="shared" si="2"/>
        <v>550</v>
      </c>
      <c r="AG6">
        <f t="shared" si="3"/>
        <v>1.2457813314004848E-2</v>
      </c>
      <c r="AH6" s="17">
        <v>50.960061439999997</v>
      </c>
      <c r="AI6">
        <f t="shared" si="4"/>
        <v>32653.639368861535</v>
      </c>
      <c r="AJ6" s="2">
        <v>2</v>
      </c>
      <c r="AK6">
        <f t="shared" si="5"/>
        <v>0</v>
      </c>
      <c r="AL6">
        <f t="shared" si="6"/>
        <v>1.5337423312883436E-2</v>
      </c>
      <c r="AM6">
        <f t="shared" si="7"/>
        <v>8.771929824561403E-2</v>
      </c>
      <c r="AN6">
        <f t="shared" si="8"/>
        <v>0.31818181818181818</v>
      </c>
      <c r="AO6">
        <f t="shared" si="9"/>
        <v>30</v>
      </c>
      <c r="AP6">
        <f t="shared" si="10"/>
        <v>0.35064935064935066</v>
      </c>
      <c r="AQ6">
        <f t="shared" si="11"/>
        <v>0.19106588976624495</v>
      </c>
      <c r="AR6">
        <f t="shared" si="12"/>
        <v>8072917.3666372634</v>
      </c>
      <c r="AS6" s="2">
        <v>37</v>
      </c>
      <c r="AT6">
        <f t="shared" si="13"/>
        <v>0.53846153846153844</v>
      </c>
      <c r="AU6">
        <f t="shared" si="14"/>
        <v>0.27229825389334589</v>
      </c>
      <c r="AV6">
        <f t="shared" si="15"/>
        <v>218963.1076670558</v>
      </c>
      <c r="AW6" s="2">
        <v>6</v>
      </c>
      <c r="AX6">
        <f t="shared" si="16"/>
        <v>0.6</v>
      </c>
      <c r="AY6" s="2">
        <v>14</v>
      </c>
      <c r="AZ6">
        <f t="shared" si="17"/>
        <v>0.33333333333333331</v>
      </c>
      <c r="BA6">
        <f t="shared" si="18"/>
        <v>0.36820040899795498</v>
      </c>
      <c r="BB6">
        <f t="shared" si="19"/>
        <v>434723.99560514616</v>
      </c>
      <c r="BC6" s="2">
        <v>9</v>
      </c>
      <c r="BD6">
        <f t="shared" si="20"/>
        <v>0.39130434782608697</v>
      </c>
      <c r="BE6">
        <f t="shared" si="21"/>
        <v>0.23565364373614997</v>
      </c>
      <c r="BF6">
        <f t="shared" si="22"/>
        <v>1050541.6956450944</v>
      </c>
      <c r="BG6">
        <f t="shared" si="23"/>
        <v>6</v>
      </c>
      <c r="BH6">
        <f t="shared" si="24"/>
        <v>0.24</v>
      </c>
      <c r="BI6">
        <f t="shared" si="25"/>
        <v>0.17538486903259262</v>
      </c>
      <c r="BJ6">
        <f t="shared" si="26"/>
        <v>528531.06582491891</v>
      </c>
      <c r="BK6">
        <f t="shared" si="27"/>
        <v>54</v>
      </c>
      <c r="BL6">
        <f t="shared" si="28"/>
        <v>0.49038461538461536</v>
      </c>
      <c r="BM6">
        <f t="shared" si="29"/>
        <v>0.29729825389334585</v>
      </c>
      <c r="BN6">
        <f t="shared" si="30"/>
        <v>376074.77788776363</v>
      </c>
      <c r="BO6">
        <f t="shared" si="31"/>
        <v>43</v>
      </c>
      <c r="BP6">
        <f t="shared" si="32"/>
        <v>0.54666666666666663</v>
      </c>
      <c r="BQ6">
        <f t="shared" si="33"/>
        <v>0.33850343930098531</v>
      </c>
      <c r="BR6">
        <f t="shared" si="34"/>
        <v>105231.08131520929</v>
      </c>
      <c r="BS6">
        <f t="shared" si="35"/>
        <v>0.26834353694580282</v>
      </c>
    </row>
    <row r="7" spans="1:71" x14ac:dyDescent="0.2">
      <c r="A7" s="2" t="s">
        <v>27</v>
      </c>
      <c r="B7" s="1">
        <v>22</v>
      </c>
      <c r="C7" s="1">
        <v>4</v>
      </c>
      <c r="D7" s="2">
        <v>3</v>
      </c>
      <c r="E7" s="2">
        <v>0</v>
      </c>
      <c r="F7" s="2">
        <v>2</v>
      </c>
      <c r="G7" s="2">
        <v>5</v>
      </c>
      <c r="H7" s="2">
        <v>1</v>
      </c>
      <c r="I7" s="2">
        <v>1</v>
      </c>
      <c r="J7" s="2">
        <v>1</v>
      </c>
      <c r="K7" s="2">
        <v>4</v>
      </c>
      <c r="L7" s="2">
        <v>4</v>
      </c>
      <c r="M7" s="2">
        <v>2</v>
      </c>
      <c r="N7" s="1">
        <v>23</v>
      </c>
      <c r="O7" s="1">
        <v>3130</v>
      </c>
      <c r="P7" s="1">
        <v>11</v>
      </c>
      <c r="Q7" s="1">
        <v>3223</v>
      </c>
      <c r="R7" s="1">
        <v>119</v>
      </c>
      <c r="S7" s="1">
        <v>1778</v>
      </c>
      <c r="T7" s="1">
        <v>112</v>
      </c>
      <c r="U7" s="2">
        <v>3976</v>
      </c>
      <c r="V7" s="2">
        <v>27</v>
      </c>
      <c r="W7" s="1">
        <v>942</v>
      </c>
      <c r="X7" s="1">
        <v>153</v>
      </c>
      <c r="Y7" s="4">
        <v>25628</v>
      </c>
      <c r="Z7" s="1">
        <v>41</v>
      </c>
      <c r="AA7" s="1">
        <v>466</v>
      </c>
      <c r="AB7" s="1">
        <v>0</v>
      </c>
      <c r="AC7" s="2">
        <v>725000</v>
      </c>
      <c r="AD7">
        <f t="shared" si="0"/>
        <v>17.100000000000001</v>
      </c>
      <c r="AE7" s="3">
        <f t="shared" si="1"/>
        <v>39143</v>
      </c>
      <c r="AF7">
        <f t="shared" si="2"/>
        <v>463</v>
      </c>
      <c r="AG7">
        <f t="shared" si="3"/>
        <v>1.1828423983854074E-2</v>
      </c>
      <c r="AH7" s="17">
        <v>8.2304526750000004</v>
      </c>
      <c r="AI7">
        <f t="shared" si="4"/>
        <v>18840.035617399124</v>
      </c>
      <c r="AJ7" s="2">
        <v>3</v>
      </c>
      <c r="AK7">
        <f t="shared" si="5"/>
        <v>7.1428571428571425E-2</v>
      </c>
      <c r="AL7">
        <f t="shared" si="6"/>
        <v>5.8282208588957052E-2</v>
      </c>
      <c r="AM7">
        <f t="shared" si="7"/>
        <v>5.2631578947368418E-2</v>
      </c>
      <c r="AN7">
        <f t="shared" si="8"/>
        <v>4.5454545454545456E-2</v>
      </c>
      <c r="AO7">
        <f t="shared" si="9"/>
        <v>5</v>
      </c>
      <c r="AP7">
        <f t="shared" si="10"/>
        <v>2.5974025974025976E-2</v>
      </c>
      <c r="AQ7">
        <f t="shared" si="11"/>
        <v>4.5234705559213148E-2</v>
      </c>
      <c r="AR7">
        <f t="shared" si="12"/>
        <v>4663013.4660385558</v>
      </c>
      <c r="AS7" s="2">
        <v>5</v>
      </c>
      <c r="AT7">
        <f t="shared" si="13"/>
        <v>4.6153846153846156E-2</v>
      </c>
      <c r="AU7">
        <f t="shared" si="14"/>
        <v>5.6161936223285913E-2</v>
      </c>
      <c r="AV7">
        <f t="shared" si="15"/>
        <v>68291.643851120767</v>
      </c>
      <c r="AW7" s="2">
        <v>1</v>
      </c>
      <c r="AX7">
        <f t="shared" si="16"/>
        <v>0.1</v>
      </c>
      <c r="AY7" s="2">
        <v>4</v>
      </c>
      <c r="AZ7">
        <f t="shared" si="17"/>
        <v>7.6923076923076927E-2</v>
      </c>
      <c r="BA7">
        <f t="shared" si="18"/>
        <v>8.5498550529225378E-2</v>
      </c>
      <c r="BB7">
        <f t="shared" si="19"/>
        <v>301307.05974885722</v>
      </c>
      <c r="BC7" s="2">
        <v>1</v>
      </c>
      <c r="BD7">
        <f t="shared" si="20"/>
        <v>4.3478260869565216E-2</v>
      </c>
      <c r="BE7">
        <f t="shared" si="21"/>
        <v>5.0445855964871569E-2</v>
      </c>
      <c r="BF7">
        <f t="shared" si="22"/>
        <v>525845.9483767536</v>
      </c>
      <c r="BG7">
        <f t="shared" si="23"/>
        <v>1</v>
      </c>
      <c r="BH7">
        <f t="shared" si="24"/>
        <v>0.04</v>
      </c>
      <c r="BI7">
        <f t="shared" si="25"/>
        <v>4.9426093119021755E-2</v>
      </c>
      <c r="BJ7">
        <f t="shared" si="26"/>
        <v>296073.26682509261</v>
      </c>
      <c r="BK7">
        <f t="shared" si="27"/>
        <v>9</v>
      </c>
      <c r="BL7">
        <f t="shared" si="28"/>
        <v>5.7692307692307696E-2</v>
      </c>
      <c r="BM7">
        <f t="shared" si="29"/>
        <v>6.0557540618890314E-2</v>
      </c>
      <c r="BN7">
        <f t="shared" si="30"/>
        <v>540383.23718833446</v>
      </c>
      <c r="BO7">
        <f t="shared" si="31"/>
        <v>6</v>
      </c>
      <c r="BP7">
        <f t="shared" si="32"/>
        <v>5.3333333333333337E-2</v>
      </c>
      <c r="BQ7">
        <f t="shared" si="33"/>
        <v>5.5871510902185756E-2</v>
      </c>
      <c r="BR7">
        <f t="shared" si="34"/>
        <v>138766.36401373372</v>
      </c>
      <c r="BS7">
        <f t="shared" si="35"/>
        <v>5.759945613095626E-2</v>
      </c>
    </row>
    <row r="8" spans="1:71" x14ac:dyDescent="0.2">
      <c r="A8" s="2" t="s">
        <v>28</v>
      </c>
      <c r="B8" s="1">
        <v>107</v>
      </c>
      <c r="C8" s="1">
        <v>17</v>
      </c>
      <c r="D8" s="2">
        <v>4</v>
      </c>
      <c r="E8" s="2">
        <v>0</v>
      </c>
      <c r="F8" s="2">
        <v>1</v>
      </c>
      <c r="G8" s="2">
        <v>7</v>
      </c>
      <c r="H8" s="2">
        <v>2</v>
      </c>
      <c r="I8" s="2">
        <v>1</v>
      </c>
      <c r="J8" s="2">
        <v>0</v>
      </c>
      <c r="K8" s="2">
        <v>3</v>
      </c>
      <c r="L8" s="2">
        <v>2</v>
      </c>
      <c r="M8" s="2">
        <v>4</v>
      </c>
      <c r="N8" s="1">
        <v>24</v>
      </c>
      <c r="O8" s="1">
        <v>10866</v>
      </c>
      <c r="P8" s="1">
        <v>37</v>
      </c>
      <c r="Q8" s="1">
        <v>9305</v>
      </c>
      <c r="R8" s="1">
        <v>589</v>
      </c>
      <c r="S8" s="1">
        <v>4354</v>
      </c>
      <c r="T8" s="1">
        <v>390</v>
      </c>
      <c r="U8" s="2">
        <v>2363</v>
      </c>
      <c r="V8" s="2">
        <v>22</v>
      </c>
      <c r="W8" s="4">
        <v>1495</v>
      </c>
      <c r="X8" s="1">
        <v>324</v>
      </c>
      <c r="Y8" s="4">
        <v>50848</v>
      </c>
      <c r="Z8" s="1">
        <v>243</v>
      </c>
      <c r="AA8" s="1">
        <v>1754</v>
      </c>
      <c r="AB8" s="1">
        <v>2</v>
      </c>
      <c r="AC8" s="2">
        <v>1097000</v>
      </c>
      <c r="AD8">
        <f t="shared" si="0"/>
        <v>38.5</v>
      </c>
      <c r="AE8" s="3">
        <f t="shared" si="1"/>
        <v>80985</v>
      </c>
      <c r="AF8">
        <f t="shared" si="2"/>
        <v>1607</v>
      </c>
      <c r="AG8">
        <f t="shared" si="3"/>
        <v>1.9843180835957278E-2</v>
      </c>
      <c r="AH8" s="17">
        <v>13.330101790000001</v>
      </c>
      <c r="AI8">
        <f t="shared" si="4"/>
        <v>28039.955674367531</v>
      </c>
      <c r="AJ8" s="2">
        <v>5</v>
      </c>
      <c r="AK8">
        <f t="shared" si="5"/>
        <v>0.21428571428571427</v>
      </c>
      <c r="AL8">
        <f t="shared" si="6"/>
        <v>0.31901840490797545</v>
      </c>
      <c r="AM8">
        <f t="shared" si="7"/>
        <v>0.2807017543859649</v>
      </c>
      <c r="AN8">
        <f t="shared" si="8"/>
        <v>9.0909090909090912E-2</v>
      </c>
      <c r="AO8">
        <f t="shared" si="9"/>
        <v>5</v>
      </c>
      <c r="AP8">
        <f t="shared" si="10"/>
        <v>2.5974025974025976E-2</v>
      </c>
      <c r="AQ8">
        <f t="shared" si="11"/>
        <v>0.16409987601463225</v>
      </c>
      <c r="AR8">
        <f t="shared" si="12"/>
        <v>4130466.3493925002</v>
      </c>
      <c r="AS8" s="2">
        <v>7</v>
      </c>
      <c r="AT8">
        <f t="shared" si="13"/>
        <v>7.6923076923076927E-2</v>
      </c>
      <c r="AU8">
        <f t="shared" si="14"/>
        <v>0.16655093372884786</v>
      </c>
      <c r="AV8">
        <f t="shared" si="15"/>
        <v>140383.47318859995</v>
      </c>
      <c r="AW8" s="2">
        <v>1</v>
      </c>
      <c r="AX8">
        <f t="shared" si="16"/>
        <v>0.1</v>
      </c>
      <c r="AY8" s="2">
        <v>3</v>
      </c>
      <c r="AZ8">
        <f t="shared" si="17"/>
        <v>5.128205128205128E-2</v>
      </c>
      <c r="BA8">
        <f t="shared" si="18"/>
        <v>0.13501539360435066</v>
      </c>
      <c r="BB8">
        <f t="shared" si="19"/>
        <v>1072802.7536963208</v>
      </c>
      <c r="BC8" s="2">
        <v>2</v>
      </c>
      <c r="BD8">
        <f t="shared" si="20"/>
        <v>8.6956521739130432E-2</v>
      </c>
      <c r="BE8">
        <f t="shared" si="21"/>
        <v>0.16606922626773535</v>
      </c>
      <c r="BF8">
        <f t="shared" si="22"/>
        <v>746896.9413753954</v>
      </c>
      <c r="BG8">
        <f t="shared" si="23"/>
        <v>0</v>
      </c>
      <c r="BH8">
        <f t="shared" si="24"/>
        <v>0</v>
      </c>
      <c r="BI8">
        <f t="shared" si="25"/>
        <v>0.13602970057603575</v>
      </c>
      <c r="BJ8">
        <f t="shared" si="26"/>
        <v>426666.1100324787</v>
      </c>
      <c r="BK8">
        <f t="shared" si="27"/>
        <v>9</v>
      </c>
      <c r="BL8">
        <f t="shared" si="28"/>
        <v>5.7692307692307696E-2</v>
      </c>
      <c r="BM8">
        <f t="shared" si="29"/>
        <v>0.14127620845412259</v>
      </c>
      <c r="BN8">
        <f t="shared" si="30"/>
        <v>222960.6164720853</v>
      </c>
      <c r="BO8">
        <f t="shared" si="31"/>
        <v>8</v>
      </c>
      <c r="BP8">
        <f t="shared" si="32"/>
        <v>0.08</v>
      </c>
      <c r="BQ8">
        <f t="shared" si="33"/>
        <v>0.1329408015297586</v>
      </c>
      <c r="BR8">
        <f t="shared" si="34"/>
        <v>149905.08517122967</v>
      </c>
      <c r="BS8">
        <f t="shared" si="35"/>
        <v>0.14885459145364047</v>
      </c>
    </row>
    <row r="9" spans="1:71" x14ac:dyDescent="0.2">
      <c r="A9" s="2" t="s">
        <v>29</v>
      </c>
      <c r="B9" s="1">
        <v>34</v>
      </c>
      <c r="C9" s="1">
        <v>6</v>
      </c>
      <c r="D9" s="2">
        <v>7</v>
      </c>
      <c r="E9" s="2">
        <v>0</v>
      </c>
      <c r="F9" s="2">
        <v>3</v>
      </c>
      <c r="G9" s="2">
        <v>13</v>
      </c>
      <c r="H9" s="2">
        <v>3</v>
      </c>
      <c r="I9" s="2">
        <v>3</v>
      </c>
      <c r="J9" s="2">
        <v>2</v>
      </c>
      <c r="K9" s="2">
        <v>11</v>
      </c>
      <c r="L9" s="2">
        <v>4</v>
      </c>
      <c r="M9" s="2">
        <v>6</v>
      </c>
      <c r="N9" s="1">
        <v>52</v>
      </c>
      <c r="O9" s="1">
        <v>6456</v>
      </c>
      <c r="P9" s="1">
        <v>10</v>
      </c>
      <c r="Q9" s="1">
        <v>5838</v>
      </c>
      <c r="R9" s="1">
        <v>273</v>
      </c>
      <c r="S9" s="1">
        <v>2196</v>
      </c>
      <c r="T9" s="1">
        <v>143</v>
      </c>
      <c r="U9" s="2">
        <v>2022</v>
      </c>
      <c r="V9" s="2">
        <v>15</v>
      </c>
      <c r="W9" s="1">
        <v>774</v>
      </c>
      <c r="X9" s="1">
        <v>165</v>
      </c>
      <c r="Y9" s="4">
        <v>34087</v>
      </c>
      <c r="Z9" s="1">
        <v>25</v>
      </c>
      <c r="AA9" s="1">
        <v>948</v>
      </c>
      <c r="AB9" s="1">
        <v>4</v>
      </c>
      <c r="AC9" s="2">
        <v>838000</v>
      </c>
      <c r="AD9">
        <f t="shared" si="0"/>
        <v>34.6</v>
      </c>
      <c r="AE9" s="3">
        <f t="shared" si="1"/>
        <v>52321</v>
      </c>
      <c r="AF9">
        <f t="shared" si="2"/>
        <v>635</v>
      </c>
      <c r="AG9">
        <f t="shared" si="3"/>
        <v>1.2136618183903212E-2</v>
      </c>
      <c r="AH9" s="17">
        <v>21.35036496</v>
      </c>
      <c r="AI9">
        <f t="shared" si="4"/>
        <v>32285.330782432367</v>
      </c>
      <c r="AJ9" s="2">
        <v>3</v>
      </c>
      <c r="AK9">
        <f t="shared" si="5"/>
        <v>7.1428571428571425E-2</v>
      </c>
      <c r="AL9">
        <f t="shared" si="6"/>
        <v>9.5092024539877307E-2</v>
      </c>
      <c r="AM9">
        <f t="shared" si="7"/>
        <v>8.771929824561403E-2</v>
      </c>
      <c r="AN9">
        <f t="shared" si="8"/>
        <v>0.13636363636363635</v>
      </c>
      <c r="AO9">
        <f t="shared" si="9"/>
        <v>10</v>
      </c>
      <c r="AP9">
        <f t="shared" si="10"/>
        <v>9.0909090909090912E-2</v>
      </c>
      <c r="AQ9">
        <f t="shared" si="11"/>
        <v>9.5977848972682675E-2</v>
      </c>
      <c r="AR9">
        <f t="shared" si="12"/>
        <v>7582685.9862076994</v>
      </c>
      <c r="AS9" s="2">
        <v>13</v>
      </c>
      <c r="AT9">
        <f t="shared" si="13"/>
        <v>0.16923076923076924</v>
      </c>
      <c r="AU9">
        <f t="shared" si="14"/>
        <v>0.12506236095193152</v>
      </c>
      <c r="AV9">
        <f t="shared" si="15"/>
        <v>161840.42767159519</v>
      </c>
      <c r="AW9" s="2">
        <v>3</v>
      </c>
      <c r="AX9">
        <f t="shared" si="16"/>
        <v>0.3</v>
      </c>
      <c r="AY9" s="2">
        <v>11</v>
      </c>
      <c r="AZ9">
        <f t="shared" si="17"/>
        <v>0.25641025641025639</v>
      </c>
      <c r="BA9">
        <f t="shared" si="18"/>
        <v>0.22507696802175331</v>
      </c>
      <c r="BB9">
        <f t="shared" si="19"/>
        <v>612403.6474866597</v>
      </c>
      <c r="BC9" s="2">
        <v>3</v>
      </c>
      <c r="BD9">
        <f t="shared" si="20"/>
        <v>0.13043478260869565</v>
      </c>
      <c r="BE9">
        <f t="shared" si="21"/>
        <v>0.11408338950385249</v>
      </c>
      <c r="BF9">
        <f t="shared" si="22"/>
        <v>1092564.2302402919</v>
      </c>
      <c r="BG9">
        <f t="shared" si="23"/>
        <v>2</v>
      </c>
      <c r="BH9">
        <f t="shared" si="24"/>
        <v>0.08</v>
      </c>
      <c r="BI9">
        <f t="shared" si="25"/>
        <v>9.7024100966303095E-2</v>
      </c>
      <c r="BJ9">
        <f t="shared" si="26"/>
        <v>483234.58795504342</v>
      </c>
      <c r="BK9">
        <f t="shared" si="27"/>
        <v>17</v>
      </c>
      <c r="BL9">
        <f t="shared" si="28"/>
        <v>0.13461538461538461</v>
      </c>
      <c r="BM9">
        <f t="shared" si="29"/>
        <v>0.11407334996292051</v>
      </c>
      <c r="BN9">
        <f t="shared" si="30"/>
        <v>378444.5531156272</v>
      </c>
      <c r="BO9">
        <f t="shared" si="31"/>
        <v>16</v>
      </c>
      <c r="BP9">
        <f t="shared" si="32"/>
        <v>0.18666666666666668</v>
      </c>
      <c r="BQ9">
        <f t="shared" si="33"/>
        <v>0.14440097734576263</v>
      </c>
      <c r="BR9">
        <f t="shared" si="34"/>
        <v>114439.54731325038</v>
      </c>
      <c r="BS9">
        <f t="shared" si="35"/>
        <v>0.13081414224645802</v>
      </c>
    </row>
    <row r="10" spans="1:71" x14ac:dyDescent="0.2">
      <c r="A10" s="2" t="s">
        <v>30</v>
      </c>
      <c r="B10" s="1">
        <v>41</v>
      </c>
      <c r="C10" s="1">
        <v>4</v>
      </c>
      <c r="D10" s="2">
        <v>6</v>
      </c>
      <c r="E10" s="2">
        <v>0</v>
      </c>
      <c r="F10" s="2">
        <v>3</v>
      </c>
      <c r="G10" s="2">
        <v>9</v>
      </c>
      <c r="H10" s="2">
        <v>1</v>
      </c>
      <c r="I10" s="2">
        <v>1</v>
      </c>
      <c r="J10" s="2">
        <v>1</v>
      </c>
      <c r="K10" s="2">
        <v>8</v>
      </c>
      <c r="L10" s="2">
        <v>6</v>
      </c>
      <c r="M10" s="2">
        <v>7</v>
      </c>
      <c r="N10" s="1">
        <v>42</v>
      </c>
      <c r="O10" s="1">
        <v>8530</v>
      </c>
      <c r="P10" s="1">
        <v>19</v>
      </c>
      <c r="Q10" s="1">
        <v>3833</v>
      </c>
      <c r="R10" s="1">
        <v>190</v>
      </c>
      <c r="S10" s="1">
        <v>1650</v>
      </c>
      <c r="T10" s="1">
        <v>125</v>
      </c>
      <c r="U10" s="2">
        <v>2115</v>
      </c>
      <c r="V10" s="2">
        <v>14</v>
      </c>
      <c r="W10" s="1">
        <v>878</v>
      </c>
      <c r="X10" s="1">
        <v>281</v>
      </c>
      <c r="Y10" s="4">
        <v>33576</v>
      </c>
      <c r="Z10" s="1">
        <v>31</v>
      </c>
      <c r="AA10" s="1">
        <v>1614</v>
      </c>
      <c r="AB10" s="1">
        <v>1</v>
      </c>
      <c r="AC10" s="2">
        <v>671000</v>
      </c>
      <c r="AD10">
        <f t="shared" si="0"/>
        <v>30.4</v>
      </c>
      <c r="AE10" s="3">
        <f t="shared" si="1"/>
        <v>52196</v>
      </c>
      <c r="AF10">
        <f t="shared" si="2"/>
        <v>661</v>
      </c>
      <c r="AG10">
        <f t="shared" si="3"/>
        <v>1.2663805655605794E-2</v>
      </c>
      <c r="AH10" s="17">
        <v>55.838641189999997</v>
      </c>
      <c r="AI10">
        <f t="shared" si="4"/>
        <v>95873.477485303956</v>
      </c>
      <c r="AJ10" s="2">
        <v>5</v>
      </c>
      <c r="AK10">
        <f t="shared" si="5"/>
        <v>0.21428571428571427</v>
      </c>
      <c r="AL10">
        <f t="shared" si="6"/>
        <v>0.1165644171779141</v>
      </c>
      <c r="AM10">
        <f t="shared" si="7"/>
        <v>5.2631578947368418E-2</v>
      </c>
      <c r="AN10">
        <f t="shared" si="8"/>
        <v>0.15909090909090909</v>
      </c>
      <c r="AO10">
        <f t="shared" si="9"/>
        <v>9</v>
      </c>
      <c r="AP10">
        <f t="shared" si="10"/>
        <v>7.792207792207792E-2</v>
      </c>
      <c r="AQ10">
        <f t="shared" si="11"/>
        <v>0.10640413428999157</v>
      </c>
      <c r="AR10">
        <f t="shared" si="12"/>
        <v>17619975.286728952</v>
      </c>
      <c r="AS10" s="2">
        <v>9</v>
      </c>
      <c r="AT10">
        <f t="shared" si="13"/>
        <v>0.1076923076923077</v>
      </c>
      <c r="AU10">
        <f t="shared" si="14"/>
        <v>0.14144475156745095</v>
      </c>
      <c r="AV10">
        <f t="shared" si="15"/>
        <v>637164.4467676318</v>
      </c>
      <c r="AW10" s="2">
        <v>1</v>
      </c>
      <c r="AX10">
        <f t="shared" si="16"/>
        <v>0.1</v>
      </c>
      <c r="AY10" s="2">
        <v>8</v>
      </c>
      <c r="AZ10">
        <f t="shared" si="17"/>
        <v>0.17948717948717949</v>
      </c>
      <c r="BA10">
        <f t="shared" si="18"/>
        <v>0.14041102047237017</v>
      </c>
      <c r="BB10">
        <f t="shared" si="19"/>
        <v>3392209.5840363624</v>
      </c>
      <c r="BC10" s="2">
        <v>1</v>
      </c>
      <c r="BD10">
        <f t="shared" si="20"/>
        <v>4.3478260869565216E-2</v>
      </c>
      <c r="BE10">
        <f t="shared" si="21"/>
        <v>9.3433466513831803E-2</v>
      </c>
      <c r="BF10">
        <f t="shared" si="22"/>
        <v>2290715.7324574408</v>
      </c>
      <c r="BG10">
        <f t="shared" si="23"/>
        <v>1</v>
      </c>
      <c r="BH10">
        <f t="shared" si="24"/>
        <v>0.04</v>
      </c>
      <c r="BI10">
        <f t="shared" si="25"/>
        <v>0.10377734003161837</v>
      </c>
      <c r="BJ10">
        <f t="shared" si="26"/>
        <v>887802.26912184432</v>
      </c>
      <c r="BK10">
        <f t="shared" si="27"/>
        <v>15</v>
      </c>
      <c r="BL10">
        <f t="shared" si="28"/>
        <v>0.11538461538461539</v>
      </c>
      <c r="BM10">
        <f t="shared" si="29"/>
        <v>0.13540079552349493</v>
      </c>
      <c r="BN10">
        <f t="shared" si="30"/>
        <v>872215.89548458264</v>
      </c>
      <c r="BO10">
        <f t="shared" si="31"/>
        <v>10</v>
      </c>
      <c r="BP10">
        <f t="shared" si="32"/>
        <v>0.10666666666666667</v>
      </c>
      <c r="BQ10">
        <f t="shared" si="33"/>
        <v>0.13966509972644944</v>
      </c>
      <c r="BR10">
        <f t="shared" si="34"/>
        <v>351027.75898090389</v>
      </c>
      <c r="BS10">
        <f t="shared" si="35"/>
        <v>0.12293380116074389</v>
      </c>
    </row>
    <row r="11" spans="1:71" x14ac:dyDescent="0.2">
      <c r="A11" s="2" t="s">
        <v>31</v>
      </c>
      <c r="B11" s="1">
        <v>94</v>
      </c>
      <c r="C11" s="1">
        <v>14</v>
      </c>
      <c r="D11" s="2">
        <v>10</v>
      </c>
      <c r="E11" s="2">
        <v>2</v>
      </c>
      <c r="F11" s="2">
        <v>3</v>
      </c>
      <c r="G11" s="2">
        <v>18</v>
      </c>
      <c r="H11" s="2">
        <v>4</v>
      </c>
      <c r="I11" s="2">
        <v>1</v>
      </c>
      <c r="J11" s="2">
        <v>4</v>
      </c>
      <c r="K11" s="2">
        <v>12</v>
      </c>
      <c r="L11" s="2">
        <v>12</v>
      </c>
      <c r="M11" s="2">
        <v>12</v>
      </c>
      <c r="N11" s="1">
        <v>78</v>
      </c>
      <c r="O11" s="1">
        <v>8409</v>
      </c>
      <c r="P11" s="1">
        <v>10</v>
      </c>
      <c r="Q11" s="1">
        <v>4639</v>
      </c>
      <c r="R11" s="1">
        <v>228</v>
      </c>
      <c r="S11" s="1">
        <v>2264</v>
      </c>
      <c r="T11" s="1">
        <v>145</v>
      </c>
      <c r="U11" s="2">
        <v>3264</v>
      </c>
      <c r="V11" s="2">
        <v>9</v>
      </c>
      <c r="W11" s="4">
        <v>1370</v>
      </c>
      <c r="X11" s="1">
        <v>165</v>
      </c>
      <c r="Y11" s="4">
        <v>25771</v>
      </c>
      <c r="Z11" s="1">
        <v>100</v>
      </c>
      <c r="AA11" s="1">
        <v>586</v>
      </c>
      <c r="AB11" s="1">
        <v>3</v>
      </c>
      <c r="AC11" s="2">
        <v>595000</v>
      </c>
      <c r="AD11">
        <f t="shared" si="0"/>
        <v>62</v>
      </c>
      <c r="AE11" s="3">
        <f t="shared" si="1"/>
        <v>46303</v>
      </c>
      <c r="AF11">
        <f t="shared" si="2"/>
        <v>660</v>
      </c>
      <c r="AG11">
        <f t="shared" si="3"/>
        <v>1.4253936030062846E-2</v>
      </c>
      <c r="AH11" s="17">
        <v>20.417422869999999</v>
      </c>
      <c r="AI11">
        <f t="shared" si="4"/>
        <v>15248.192437896936</v>
      </c>
      <c r="AJ11" s="2">
        <v>5</v>
      </c>
      <c r="AK11">
        <f t="shared" si="5"/>
        <v>0.21428571428571427</v>
      </c>
      <c r="AL11">
        <f t="shared" si="6"/>
        <v>0.27914110429447853</v>
      </c>
      <c r="AM11">
        <f t="shared" si="7"/>
        <v>0.22807017543859648</v>
      </c>
      <c r="AN11">
        <f t="shared" si="8"/>
        <v>0.27272727272727271</v>
      </c>
      <c r="AO11">
        <f t="shared" si="9"/>
        <v>15</v>
      </c>
      <c r="AP11">
        <f t="shared" si="10"/>
        <v>0.15584415584415584</v>
      </c>
      <c r="AQ11">
        <f t="shared" si="11"/>
        <v>0.21832537282973188</v>
      </c>
      <c r="AR11">
        <f t="shared" si="12"/>
        <v>2410060.7179227239</v>
      </c>
      <c r="AS11" s="2">
        <v>18</v>
      </c>
      <c r="AT11">
        <f t="shared" si="13"/>
        <v>0.24615384615384617</v>
      </c>
      <c r="AU11">
        <f t="shared" si="14"/>
        <v>0.24319085822153308</v>
      </c>
      <c r="AV11">
        <f t="shared" si="15"/>
        <v>49198.435703207717</v>
      </c>
      <c r="AW11" s="2">
        <v>1</v>
      </c>
      <c r="AX11">
        <f t="shared" si="16"/>
        <v>0.1</v>
      </c>
      <c r="AY11" s="2">
        <v>12</v>
      </c>
      <c r="AZ11">
        <f t="shared" si="17"/>
        <v>0.28205128205128205</v>
      </c>
      <c r="BA11">
        <f t="shared" si="18"/>
        <v>0.17718150969684712</v>
      </c>
      <c r="BB11">
        <f t="shared" si="19"/>
        <v>969006.91955716605</v>
      </c>
      <c r="BC11" s="2">
        <v>4</v>
      </c>
      <c r="BD11">
        <f t="shared" si="20"/>
        <v>0.17391304347826086</v>
      </c>
      <c r="BE11">
        <f t="shared" si="21"/>
        <v>0.21923377030563507</v>
      </c>
      <c r="BF11">
        <f t="shared" si="22"/>
        <v>432033.91777592147</v>
      </c>
      <c r="BG11">
        <f t="shared" si="23"/>
        <v>6</v>
      </c>
      <c r="BH11">
        <f t="shared" si="24"/>
        <v>0.24</v>
      </c>
      <c r="BI11">
        <f t="shared" si="25"/>
        <v>0.25224562801314498</v>
      </c>
      <c r="BJ11">
        <f t="shared" si="26"/>
        <v>183254.09935458278</v>
      </c>
      <c r="BK11">
        <f t="shared" si="27"/>
        <v>30</v>
      </c>
      <c r="BL11">
        <f t="shared" si="28"/>
        <v>0.25961538461538464</v>
      </c>
      <c r="BM11">
        <f t="shared" si="29"/>
        <v>0.2544545944852693</v>
      </c>
      <c r="BN11">
        <f t="shared" si="30"/>
        <v>261903.18309044332</v>
      </c>
      <c r="BO11">
        <f t="shared" si="31"/>
        <v>19</v>
      </c>
      <c r="BP11">
        <f t="shared" si="32"/>
        <v>0.22666666666666666</v>
      </c>
      <c r="BQ11">
        <f t="shared" si="33"/>
        <v>0.23865004116537858</v>
      </c>
      <c r="BR11">
        <f t="shared" si="34"/>
        <v>117208.73457765793</v>
      </c>
      <c r="BS11">
        <f t="shared" si="35"/>
        <v>0.22904025353107713</v>
      </c>
    </row>
    <row r="12" spans="1:71" x14ac:dyDescent="0.2">
      <c r="A12" s="2" t="s">
        <v>32</v>
      </c>
      <c r="B12" s="1">
        <v>3</v>
      </c>
      <c r="C12" s="1">
        <v>1</v>
      </c>
      <c r="D12" s="2">
        <v>5</v>
      </c>
      <c r="E12" s="2">
        <v>0</v>
      </c>
      <c r="F12" s="2">
        <v>2</v>
      </c>
      <c r="G12" s="2">
        <v>13</v>
      </c>
      <c r="H12" s="2">
        <v>2</v>
      </c>
      <c r="I12" s="2">
        <v>0</v>
      </c>
      <c r="J12" s="2">
        <v>1</v>
      </c>
      <c r="K12" s="2">
        <v>6</v>
      </c>
      <c r="L12" s="2">
        <v>4</v>
      </c>
      <c r="M12" s="2">
        <v>7</v>
      </c>
      <c r="N12" s="1">
        <v>40</v>
      </c>
      <c r="O12" s="1">
        <v>1114</v>
      </c>
      <c r="P12" s="1">
        <v>0</v>
      </c>
      <c r="Q12" s="1">
        <v>561</v>
      </c>
      <c r="R12" s="1">
        <v>11</v>
      </c>
      <c r="S12" s="1">
        <v>190</v>
      </c>
      <c r="T12" s="1">
        <v>12</v>
      </c>
      <c r="U12" s="2">
        <v>1415</v>
      </c>
      <c r="V12" s="2">
        <v>3</v>
      </c>
      <c r="W12" s="1">
        <v>204</v>
      </c>
      <c r="X12" s="1">
        <v>6</v>
      </c>
      <c r="Y12" s="4">
        <v>6427</v>
      </c>
      <c r="Z12" s="1">
        <v>3</v>
      </c>
      <c r="AA12" s="1">
        <v>370</v>
      </c>
      <c r="AB12" s="1">
        <v>0</v>
      </c>
      <c r="AC12" s="2">
        <v>124000</v>
      </c>
      <c r="AD12">
        <f t="shared" si="0"/>
        <v>20.9</v>
      </c>
      <c r="AE12" s="3">
        <f t="shared" si="1"/>
        <v>10281</v>
      </c>
      <c r="AF12">
        <f t="shared" si="2"/>
        <v>35</v>
      </c>
      <c r="AG12">
        <f t="shared" si="3"/>
        <v>3.4043380994066724E-3</v>
      </c>
      <c r="AH12" s="17">
        <v>63.39869281</v>
      </c>
      <c r="AI12">
        <f t="shared" si="4"/>
        <v>31186.69668801962</v>
      </c>
      <c r="AJ12" s="2">
        <v>2</v>
      </c>
      <c r="AK12">
        <f t="shared" si="5"/>
        <v>0</v>
      </c>
      <c r="AL12">
        <f t="shared" si="6"/>
        <v>0</v>
      </c>
      <c r="AM12">
        <f t="shared" si="7"/>
        <v>0</v>
      </c>
      <c r="AN12">
        <f t="shared" si="8"/>
        <v>0.15909090909090909</v>
      </c>
      <c r="AO12">
        <f t="shared" si="9"/>
        <v>7</v>
      </c>
      <c r="AP12">
        <f t="shared" si="10"/>
        <v>5.1948051948051951E-2</v>
      </c>
      <c r="AQ12">
        <f t="shared" si="11"/>
        <v>4.2045454545454539E-2</v>
      </c>
      <c r="AR12">
        <f t="shared" si="12"/>
        <v>9691021.3742455598</v>
      </c>
      <c r="AS12" s="2">
        <v>13</v>
      </c>
      <c r="AT12">
        <f t="shared" si="13"/>
        <v>0.16923076923076924</v>
      </c>
      <c r="AU12">
        <f t="shared" si="14"/>
        <v>8.461538461538462E-2</v>
      </c>
      <c r="AV12">
        <f t="shared" si="15"/>
        <v>277225.19310554542</v>
      </c>
      <c r="AW12" s="2">
        <v>0</v>
      </c>
      <c r="AX12">
        <f t="shared" si="16"/>
        <v>0</v>
      </c>
      <c r="AY12" s="2">
        <v>6</v>
      </c>
      <c r="AZ12">
        <f t="shared" si="17"/>
        <v>0.12820512820512819</v>
      </c>
      <c r="BA12">
        <f t="shared" si="18"/>
        <v>2.564102564102564E-2</v>
      </c>
      <c r="BB12">
        <f t="shared" si="19"/>
        <v>2754419.6078232597</v>
      </c>
      <c r="BC12" s="2">
        <v>2</v>
      </c>
      <c r="BD12">
        <f t="shared" si="20"/>
        <v>8.6956521739130432E-2</v>
      </c>
      <c r="BE12">
        <f t="shared" si="21"/>
        <v>6.2994071146245056E-2</v>
      </c>
      <c r="BF12">
        <f t="shared" si="22"/>
        <v>564603.39868873602</v>
      </c>
      <c r="BG12">
        <f t="shared" si="23"/>
        <v>1</v>
      </c>
      <c r="BH12">
        <f t="shared" si="24"/>
        <v>0.04</v>
      </c>
      <c r="BI12">
        <f t="shared" si="25"/>
        <v>5.3772727272727271E-2</v>
      </c>
      <c r="BJ12">
        <f t="shared" si="26"/>
        <v>224012.28735908706</v>
      </c>
      <c r="BK12">
        <f t="shared" si="27"/>
        <v>17</v>
      </c>
      <c r="BL12">
        <f t="shared" si="28"/>
        <v>0.13461538461538461</v>
      </c>
      <c r="BM12">
        <f t="shared" si="29"/>
        <v>8.076923076923076E-2</v>
      </c>
      <c r="BN12">
        <f t="shared" si="30"/>
        <v>1110684.7183237621</v>
      </c>
      <c r="BO12">
        <f t="shared" si="31"/>
        <v>13</v>
      </c>
      <c r="BP12">
        <f t="shared" si="32"/>
        <v>0.14666666666666667</v>
      </c>
      <c r="BQ12">
        <f t="shared" si="33"/>
        <v>0.10515151515151516</v>
      </c>
      <c r="BR12">
        <f t="shared" si="34"/>
        <v>122997.11815473197</v>
      </c>
      <c r="BS12">
        <f t="shared" si="35"/>
        <v>6.4998487020226148E-2</v>
      </c>
    </row>
    <row r="13" spans="1:71" x14ac:dyDescent="0.2">
      <c r="A13" s="2" t="s">
        <v>33</v>
      </c>
      <c r="B13" s="1">
        <v>4</v>
      </c>
      <c r="C13" s="1">
        <v>1</v>
      </c>
      <c r="D13" s="2">
        <v>7</v>
      </c>
      <c r="E13" s="2">
        <v>0</v>
      </c>
      <c r="F13" s="2">
        <v>1</v>
      </c>
      <c r="G13" s="2">
        <v>8</v>
      </c>
      <c r="H13" s="2">
        <v>1</v>
      </c>
      <c r="I13" s="2">
        <v>1</v>
      </c>
      <c r="J13" s="2">
        <v>1</v>
      </c>
      <c r="K13" s="2">
        <v>6</v>
      </c>
      <c r="L13" s="2">
        <v>2</v>
      </c>
      <c r="M13" s="2">
        <v>5</v>
      </c>
      <c r="N13" s="1">
        <v>32</v>
      </c>
      <c r="O13" s="1">
        <v>547</v>
      </c>
      <c r="P13" s="1">
        <v>1</v>
      </c>
      <c r="Q13" s="1">
        <v>516</v>
      </c>
      <c r="R13" s="1">
        <v>18</v>
      </c>
      <c r="S13" s="1">
        <v>306</v>
      </c>
      <c r="T13" s="1">
        <v>10</v>
      </c>
      <c r="U13" s="2">
        <v>1049</v>
      </c>
      <c r="V13" s="2">
        <v>3</v>
      </c>
      <c r="W13" s="1">
        <v>85</v>
      </c>
      <c r="X13" s="1">
        <v>5</v>
      </c>
      <c r="Y13" s="4">
        <v>3712</v>
      </c>
      <c r="Z13" s="1">
        <v>11</v>
      </c>
      <c r="AA13" s="1">
        <v>355</v>
      </c>
      <c r="AB13" s="1">
        <v>0</v>
      </c>
      <c r="AC13" s="2">
        <v>172000</v>
      </c>
      <c r="AD13">
        <f t="shared" si="0"/>
        <v>17.100000000000001</v>
      </c>
      <c r="AE13" s="3">
        <f t="shared" si="1"/>
        <v>6570</v>
      </c>
      <c r="AF13">
        <f t="shared" si="2"/>
        <v>48</v>
      </c>
      <c r="AG13">
        <f t="shared" si="3"/>
        <v>7.3059360730593605E-3</v>
      </c>
      <c r="AH13" s="17">
        <v>84.078431370000004</v>
      </c>
      <c r="AI13">
        <f t="shared" si="4"/>
        <v>32303.818368473683</v>
      </c>
      <c r="AJ13" s="2">
        <v>2</v>
      </c>
      <c r="AK13">
        <f t="shared" si="5"/>
        <v>0</v>
      </c>
      <c r="AL13">
        <f t="shared" si="6"/>
        <v>3.0674846625766872E-3</v>
      </c>
      <c r="AM13">
        <f t="shared" si="7"/>
        <v>0</v>
      </c>
      <c r="AN13">
        <f t="shared" si="8"/>
        <v>0.11363636363636363</v>
      </c>
      <c r="AO13">
        <f t="shared" si="9"/>
        <v>8</v>
      </c>
      <c r="AP13">
        <f t="shared" si="10"/>
        <v>6.4935064935064929E-2</v>
      </c>
      <c r="AQ13">
        <f t="shared" si="11"/>
        <v>4.0386224205242606E-2</v>
      </c>
      <c r="AR13">
        <f t="shared" si="12"/>
        <v>7727861.254356279</v>
      </c>
      <c r="AS13" s="2">
        <v>8</v>
      </c>
      <c r="AT13">
        <f t="shared" si="13"/>
        <v>9.2307692307692313E-2</v>
      </c>
      <c r="AU13">
        <f t="shared" si="14"/>
        <v>4.6767343086361497E-2</v>
      </c>
      <c r="AV13">
        <f t="shared" si="15"/>
        <v>638219.77402548585</v>
      </c>
      <c r="AW13" s="2">
        <v>1</v>
      </c>
      <c r="AX13">
        <f t="shared" si="16"/>
        <v>0.1</v>
      </c>
      <c r="AY13" s="2">
        <v>6</v>
      </c>
      <c r="AZ13">
        <f t="shared" si="17"/>
        <v>0.12820512820512819</v>
      </c>
      <c r="BA13">
        <f t="shared" si="18"/>
        <v>7.5947774107283317E-2</v>
      </c>
      <c r="BB13">
        <f t="shared" si="19"/>
        <v>605559.57695907669</v>
      </c>
      <c r="BC13" s="2">
        <v>1</v>
      </c>
      <c r="BD13">
        <f t="shared" si="20"/>
        <v>4.3478260869565216E-2</v>
      </c>
      <c r="BE13">
        <f t="shared" si="21"/>
        <v>3.7224168869274231E-2</v>
      </c>
      <c r="BF13">
        <f t="shared" si="22"/>
        <v>1165491.9882638573</v>
      </c>
      <c r="BG13">
        <f t="shared" si="23"/>
        <v>1</v>
      </c>
      <c r="BH13">
        <f t="shared" si="24"/>
        <v>0.04</v>
      </c>
      <c r="BI13">
        <f t="shared" si="25"/>
        <v>4.3022587841606244E-2</v>
      </c>
      <c r="BJ13">
        <f t="shared" si="26"/>
        <v>598011.44677631394</v>
      </c>
      <c r="BK13">
        <f t="shared" si="27"/>
        <v>10</v>
      </c>
      <c r="BL13">
        <f t="shared" si="28"/>
        <v>6.7307692307692304E-2</v>
      </c>
      <c r="BM13">
        <f t="shared" si="29"/>
        <v>4.0998112317130721E-2</v>
      </c>
      <c r="BN13">
        <f t="shared" si="30"/>
        <v>2151276.4740213924</v>
      </c>
      <c r="BO13">
        <f t="shared" si="31"/>
        <v>9</v>
      </c>
      <c r="BP13">
        <f t="shared" si="32"/>
        <v>9.3333333333333338E-2</v>
      </c>
      <c r="BQ13">
        <f t="shared" si="33"/>
        <v>6.9700687860197064E-2</v>
      </c>
      <c r="BR13">
        <f t="shared" si="34"/>
        <v>102533.66051113451</v>
      </c>
      <c r="BS13">
        <f t="shared" si="35"/>
        <v>5.0578128326727964E-2</v>
      </c>
    </row>
    <row r="14" spans="1:71" x14ac:dyDescent="0.2">
      <c r="A14" s="2" t="s">
        <v>34</v>
      </c>
      <c r="B14" s="1">
        <v>5</v>
      </c>
      <c r="C14" s="1">
        <v>3</v>
      </c>
      <c r="D14" s="2">
        <v>11</v>
      </c>
      <c r="E14" s="2">
        <v>1</v>
      </c>
      <c r="F14" s="2">
        <v>4</v>
      </c>
      <c r="G14" s="2">
        <v>17</v>
      </c>
      <c r="H14" s="2">
        <v>3</v>
      </c>
      <c r="I14" s="2">
        <v>1</v>
      </c>
      <c r="J14" s="2">
        <v>2</v>
      </c>
      <c r="K14" s="2">
        <v>8</v>
      </c>
      <c r="L14" s="2">
        <v>8</v>
      </c>
      <c r="M14" s="2">
        <v>9</v>
      </c>
      <c r="N14" s="1">
        <v>64</v>
      </c>
      <c r="O14" s="1">
        <v>115</v>
      </c>
      <c r="P14" s="1">
        <v>0</v>
      </c>
      <c r="Q14" s="1">
        <v>734</v>
      </c>
      <c r="R14" s="1">
        <v>27</v>
      </c>
      <c r="S14" s="1">
        <v>363</v>
      </c>
      <c r="T14" s="1">
        <v>27</v>
      </c>
      <c r="U14" s="2">
        <v>827</v>
      </c>
      <c r="V14" s="2">
        <v>1</v>
      </c>
      <c r="W14" s="1">
        <v>867</v>
      </c>
      <c r="X14" s="1">
        <v>60</v>
      </c>
      <c r="Y14" s="4">
        <v>4740</v>
      </c>
      <c r="Z14" s="1">
        <v>11</v>
      </c>
      <c r="AA14" s="1">
        <v>1146</v>
      </c>
      <c r="AB14" s="1">
        <v>1</v>
      </c>
      <c r="AC14" s="2">
        <v>123000</v>
      </c>
      <c r="AD14">
        <f t="shared" si="0"/>
        <v>33.9</v>
      </c>
      <c r="AE14" s="3">
        <f t="shared" si="1"/>
        <v>8792</v>
      </c>
      <c r="AF14">
        <f t="shared" si="2"/>
        <v>127</v>
      </c>
      <c r="AG14">
        <f t="shared" si="3"/>
        <v>1.4444949954504094E-2</v>
      </c>
      <c r="AH14" s="17">
        <v>70.523415979999996</v>
      </c>
      <c r="AI14">
        <f t="shared" si="4"/>
        <v>18290.320746199406</v>
      </c>
      <c r="AJ14" s="2">
        <v>2</v>
      </c>
      <c r="AK14">
        <f t="shared" si="5"/>
        <v>0</v>
      </c>
      <c r="AL14">
        <f t="shared" si="6"/>
        <v>6.1349693251533744E-3</v>
      </c>
      <c r="AM14">
        <f t="shared" si="7"/>
        <v>3.5087719298245612E-2</v>
      </c>
      <c r="AN14">
        <f t="shared" si="8"/>
        <v>0.20454545454545456</v>
      </c>
      <c r="AO14">
        <f t="shared" si="9"/>
        <v>16</v>
      </c>
      <c r="AP14">
        <f t="shared" si="10"/>
        <v>0.16883116883116883</v>
      </c>
      <c r="AQ14">
        <f t="shared" si="11"/>
        <v>9.801726499740708E-2</v>
      </c>
      <c r="AR14">
        <f t="shared" si="12"/>
        <v>3410429.7008699742</v>
      </c>
      <c r="AS14" s="2">
        <v>17</v>
      </c>
      <c r="AT14">
        <f t="shared" si="13"/>
        <v>0.23076923076923078</v>
      </c>
      <c r="AU14">
        <f t="shared" si="14"/>
        <v>0.11661160924964607</v>
      </c>
      <c r="AV14">
        <f t="shared" si="15"/>
        <v>693068.51378800685</v>
      </c>
      <c r="AW14" s="2">
        <v>1</v>
      </c>
      <c r="AX14">
        <f t="shared" si="16"/>
        <v>0.1</v>
      </c>
      <c r="AY14" s="2">
        <v>8</v>
      </c>
      <c r="AZ14">
        <f t="shared" si="17"/>
        <v>0.17948717948717949</v>
      </c>
      <c r="BA14">
        <f t="shared" si="18"/>
        <v>8.6510932829951245E-2</v>
      </c>
      <c r="BB14">
        <f t="shared" si="19"/>
        <v>93747.605908280559</v>
      </c>
      <c r="BC14" s="2">
        <v>3</v>
      </c>
      <c r="BD14">
        <f t="shared" si="20"/>
        <v>0.13043478260869565</v>
      </c>
      <c r="BE14">
        <f t="shared" si="21"/>
        <v>9.4113236150586463E-2</v>
      </c>
      <c r="BF14">
        <f t="shared" si="22"/>
        <v>550020.26756889315</v>
      </c>
      <c r="BG14">
        <f t="shared" si="23"/>
        <v>3</v>
      </c>
      <c r="BH14">
        <f t="shared" si="24"/>
        <v>0.12</v>
      </c>
      <c r="BI14">
        <f t="shared" si="25"/>
        <v>9.7872129431218868E-2</v>
      </c>
      <c r="BJ14">
        <f t="shared" si="26"/>
        <v>261565.78128537387</v>
      </c>
      <c r="BK14">
        <f t="shared" si="27"/>
        <v>25</v>
      </c>
      <c r="BL14">
        <f t="shared" si="28"/>
        <v>0.21153846153846154</v>
      </c>
      <c r="BM14">
        <f t="shared" si="29"/>
        <v>0.12815007078810758</v>
      </c>
      <c r="BN14">
        <f t="shared" si="30"/>
        <v>455113.79476251057</v>
      </c>
      <c r="BO14">
        <f t="shared" si="31"/>
        <v>18</v>
      </c>
      <c r="BP14">
        <f t="shared" si="32"/>
        <v>0.21333333333333335</v>
      </c>
      <c r="BQ14">
        <f t="shared" si="33"/>
        <v>0.14818925450827292</v>
      </c>
      <c r="BR14">
        <f t="shared" si="34"/>
        <v>412606.1761869957</v>
      </c>
      <c r="BS14">
        <f t="shared" si="35"/>
        <v>0.10992349970788431</v>
      </c>
    </row>
    <row r="15" spans="1:71" x14ac:dyDescent="0.2">
      <c r="A15" s="2" t="s">
        <v>35</v>
      </c>
      <c r="B15" s="1">
        <v>3</v>
      </c>
      <c r="C15" s="1">
        <v>2</v>
      </c>
      <c r="D15" s="2">
        <v>1</v>
      </c>
      <c r="E15" s="2">
        <v>0</v>
      </c>
      <c r="F15" s="2">
        <v>2</v>
      </c>
      <c r="G15" s="2">
        <v>2</v>
      </c>
      <c r="H15" s="2">
        <v>0</v>
      </c>
      <c r="I15" s="2">
        <v>0</v>
      </c>
      <c r="J15" s="2">
        <v>0</v>
      </c>
      <c r="K15" s="2">
        <v>2</v>
      </c>
      <c r="L15" s="2">
        <v>1</v>
      </c>
      <c r="M15" s="2">
        <v>0</v>
      </c>
      <c r="N15" s="1">
        <v>8</v>
      </c>
      <c r="O15" s="1">
        <v>675</v>
      </c>
      <c r="P15" s="1">
        <v>0</v>
      </c>
      <c r="Q15" s="1">
        <v>331</v>
      </c>
      <c r="R15" s="1">
        <v>5</v>
      </c>
      <c r="S15" s="1">
        <v>117</v>
      </c>
      <c r="T15" s="1">
        <v>19</v>
      </c>
      <c r="U15" s="2">
        <v>1184</v>
      </c>
      <c r="V15" s="2">
        <v>8</v>
      </c>
      <c r="W15" s="1">
        <v>194</v>
      </c>
      <c r="X15" s="1">
        <v>11</v>
      </c>
      <c r="Y15" s="4">
        <v>5992</v>
      </c>
      <c r="Z15" s="1">
        <v>1</v>
      </c>
      <c r="AA15" s="1">
        <v>315</v>
      </c>
      <c r="AB15" s="1">
        <v>1</v>
      </c>
      <c r="AC15" s="2">
        <v>137000</v>
      </c>
      <c r="AD15">
        <f t="shared" si="0"/>
        <v>5.2</v>
      </c>
      <c r="AE15" s="3">
        <f t="shared" si="1"/>
        <v>8808</v>
      </c>
      <c r="AF15">
        <f t="shared" si="2"/>
        <v>45</v>
      </c>
      <c r="AG15">
        <f t="shared" si="3"/>
        <v>5.108991825613079E-3</v>
      </c>
      <c r="AH15" s="17">
        <v>75.297346750000003</v>
      </c>
      <c r="AI15">
        <f t="shared" si="4"/>
        <v>127542.1211873077</v>
      </c>
      <c r="AJ15" s="2">
        <v>4</v>
      </c>
      <c r="AK15">
        <f t="shared" si="5"/>
        <v>0.14285714285714285</v>
      </c>
      <c r="AL15">
        <f t="shared" si="6"/>
        <v>0</v>
      </c>
      <c r="AM15">
        <f t="shared" si="7"/>
        <v>1.7543859649122806E-2</v>
      </c>
      <c r="AN15">
        <f t="shared" si="8"/>
        <v>0</v>
      </c>
      <c r="AO15">
        <f t="shared" si="9"/>
        <v>3</v>
      </c>
      <c r="AP15">
        <f t="shared" si="10"/>
        <v>0</v>
      </c>
      <c r="AQ15">
        <f t="shared" si="11"/>
        <v>1.7794486215538845E-2</v>
      </c>
      <c r="AR15">
        <f t="shared" si="12"/>
        <v>25355140.702630144</v>
      </c>
      <c r="AS15" s="2">
        <v>2</v>
      </c>
      <c r="AT15">
        <f t="shared" si="13"/>
        <v>0</v>
      </c>
      <c r="AU15">
        <f t="shared" si="14"/>
        <v>4.2857142857142851E-2</v>
      </c>
      <c r="AV15">
        <f t="shared" si="15"/>
        <v>553435.49861250003</v>
      </c>
      <c r="AW15" s="2">
        <v>0</v>
      </c>
      <c r="AX15">
        <f t="shared" si="16"/>
        <v>0</v>
      </c>
      <c r="AY15" s="2">
        <v>2</v>
      </c>
      <c r="AZ15">
        <f t="shared" si="17"/>
        <v>2.564102564102564E-2</v>
      </c>
      <c r="BA15">
        <f t="shared" si="18"/>
        <v>3.3699633699633698E-2</v>
      </c>
      <c r="BB15">
        <f t="shared" si="19"/>
        <v>1508197.6709082881</v>
      </c>
      <c r="BC15" s="2">
        <v>0</v>
      </c>
      <c r="BD15">
        <f t="shared" si="20"/>
        <v>0</v>
      </c>
      <c r="BE15">
        <f t="shared" si="21"/>
        <v>1.6040100250626566E-2</v>
      </c>
      <c r="BF15">
        <f t="shared" si="22"/>
        <v>1553819.5762383984</v>
      </c>
      <c r="BG15">
        <f t="shared" si="23"/>
        <v>0</v>
      </c>
      <c r="BH15">
        <f t="shared" si="24"/>
        <v>0</v>
      </c>
      <c r="BI15">
        <f t="shared" si="25"/>
        <v>1.6040100250626566E-2</v>
      </c>
      <c r="BJ15">
        <f t="shared" si="26"/>
        <v>549235.3184891016</v>
      </c>
      <c r="BK15">
        <f t="shared" si="27"/>
        <v>3</v>
      </c>
      <c r="BL15">
        <f t="shared" si="28"/>
        <v>0</v>
      </c>
      <c r="BM15">
        <f t="shared" si="29"/>
        <v>2.8571428571428571E-2</v>
      </c>
      <c r="BN15">
        <f t="shared" si="30"/>
        <v>3120322.0493200002</v>
      </c>
      <c r="BO15">
        <f t="shared" si="31"/>
        <v>2</v>
      </c>
      <c r="BP15">
        <f t="shared" si="32"/>
        <v>0</v>
      </c>
      <c r="BQ15">
        <f t="shared" si="33"/>
        <v>2.8571428571428571E-2</v>
      </c>
      <c r="BR15">
        <f t="shared" si="34"/>
        <v>511268.98443250003</v>
      </c>
      <c r="BS15">
        <f t="shared" si="35"/>
        <v>2.622490291663224E-2</v>
      </c>
    </row>
    <row r="16" spans="1:71" x14ac:dyDescent="0.2">
      <c r="A16" s="2" t="s">
        <v>36</v>
      </c>
      <c r="B16" s="1">
        <v>76</v>
      </c>
      <c r="C16" s="1">
        <v>8</v>
      </c>
      <c r="D16" s="2">
        <v>1</v>
      </c>
      <c r="E16" s="2">
        <v>0</v>
      </c>
      <c r="F16" s="2">
        <v>2</v>
      </c>
      <c r="G16" s="2">
        <v>2</v>
      </c>
      <c r="H16" s="2">
        <v>1</v>
      </c>
      <c r="I16" s="2">
        <v>1</v>
      </c>
      <c r="J16" s="2">
        <v>0</v>
      </c>
      <c r="K16" s="2">
        <v>1</v>
      </c>
      <c r="L16" s="2">
        <v>1</v>
      </c>
      <c r="M16" s="2">
        <v>1</v>
      </c>
      <c r="N16" s="1">
        <v>10</v>
      </c>
      <c r="O16" s="1">
        <v>3993</v>
      </c>
      <c r="P16" s="1">
        <v>5</v>
      </c>
      <c r="Q16" s="1">
        <v>2764</v>
      </c>
      <c r="R16" s="1">
        <v>133</v>
      </c>
      <c r="S16" s="1">
        <v>1090</v>
      </c>
      <c r="T16" s="1">
        <v>53</v>
      </c>
      <c r="U16" s="2">
        <v>3812</v>
      </c>
      <c r="V16" s="2">
        <v>37</v>
      </c>
      <c r="W16" s="1">
        <v>723</v>
      </c>
      <c r="X16" s="1">
        <v>35</v>
      </c>
      <c r="Y16" s="4">
        <v>35283</v>
      </c>
      <c r="Z16" s="1">
        <v>71</v>
      </c>
      <c r="AA16" s="1">
        <v>1069</v>
      </c>
      <c r="AB16" s="1">
        <v>2</v>
      </c>
      <c r="AC16" s="2">
        <v>596000</v>
      </c>
      <c r="AD16">
        <f t="shared" si="0"/>
        <v>22.6</v>
      </c>
      <c r="AE16" s="3">
        <f t="shared" si="1"/>
        <v>48734</v>
      </c>
      <c r="AF16">
        <f t="shared" si="2"/>
        <v>336</v>
      </c>
      <c r="AG16">
        <f t="shared" si="3"/>
        <v>6.8945705257110025E-3</v>
      </c>
      <c r="AH16" s="17">
        <v>72.107824780000001</v>
      </c>
      <c r="AI16">
        <f t="shared" si="4"/>
        <v>155491.27136409382</v>
      </c>
      <c r="AJ16" s="2">
        <v>5</v>
      </c>
      <c r="AK16">
        <f t="shared" si="5"/>
        <v>0.21428571428571427</v>
      </c>
      <c r="AL16">
        <f t="shared" si="6"/>
        <v>0.22392638036809817</v>
      </c>
      <c r="AM16">
        <f t="shared" si="7"/>
        <v>0.12280701754385964</v>
      </c>
      <c r="AN16">
        <f t="shared" si="8"/>
        <v>2.2727272727272728E-2</v>
      </c>
      <c r="AO16">
        <f t="shared" si="9"/>
        <v>3</v>
      </c>
      <c r="AP16">
        <f t="shared" si="10"/>
        <v>0</v>
      </c>
      <c r="AQ16">
        <f t="shared" si="11"/>
        <v>9.4184341920053885E-2</v>
      </c>
      <c r="AR16">
        <f t="shared" si="12"/>
        <v>27012774.415011641</v>
      </c>
      <c r="AS16" s="2">
        <v>2</v>
      </c>
      <c r="AT16">
        <f t="shared" si="13"/>
        <v>0</v>
      </c>
      <c r="AU16">
        <f t="shared" si="14"/>
        <v>0.10907099035933392</v>
      </c>
      <c r="AV16">
        <f t="shared" si="15"/>
        <v>706725.63287331956</v>
      </c>
      <c r="AW16" s="2">
        <v>1</v>
      </c>
      <c r="AX16">
        <f t="shared" si="16"/>
        <v>0.1</v>
      </c>
      <c r="AY16" s="2">
        <v>1</v>
      </c>
      <c r="AZ16">
        <f t="shared" si="17"/>
        <v>0</v>
      </c>
      <c r="BA16">
        <f t="shared" si="18"/>
        <v>0.11524978089395267</v>
      </c>
      <c r="BB16">
        <f t="shared" si="19"/>
        <v>2498282.7916304343</v>
      </c>
      <c r="BC16" s="2">
        <v>1</v>
      </c>
      <c r="BD16">
        <f t="shared" si="20"/>
        <v>4.3478260869565216E-2</v>
      </c>
      <c r="BE16">
        <f t="shared" si="21"/>
        <v>0.10146885755697227</v>
      </c>
      <c r="BF16">
        <f t="shared" si="22"/>
        <v>1964208.8468377064</v>
      </c>
      <c r="BG16">
        <f t="shared" si="23"/>
        <v>0</v>
      </c>
      <c r="BH16">
        <f t="shared" si="24"/>
        <v>0</v>
      </c>
      <c r="BI16">
        <f t="shared" si="25"/>
        <v>8.4176367438395197E-2</v>
      </c>
      <c r="BJ16">
        <f t="shared" si="26"/>
        <v>933724.40985555609</v>
      </c>
      <c r="BK16">
        <f t="shared" si="27"/>
        <v>3</v>
      </c>
      <c r="BL16">
        <f t="shared" si="28"/>
        <v>0</v>
      </c>
      <c r="BM16">
        <f t="shared" si="29"/>
        <v>8.7642418930762495E-2</v>
      </c>
      <c r="BN16">
        <f t="shared" si="30"/>
        <v>3136324.0701801176</v>
      </c>
      <c r="BO16">
        <f t="shared" si="31"/>
        <v>3</v>
      </c>
      <c r="BP16">
        <f t="shared" si="32"/>
        <v>1.3333333333333334E-2</v>
      </c>
      <c r="BQ16">
        <f t="shared" si="33"/>
        <v>7.6461902106073884E-2</v>
      </c>
      <c r="BR16">
        <f t="shared" si="34"/>
        <v>681829.19702436554</v>
      </c>
      <c r="BS16">
        <f t="shared" si="35"/>
        <v>9.5464951315077748E-2</v>
      </c>
    </row>
    <row r="17" spans="1:71" x14ac:dyDescent="0.2">
      <c r="A17" s="2" t="s">
        <v>37</v>
      </c>
      <c r="B17" s="1">
        <v>118</v>
      </c>
      <c r="C17" s="1">
        <v>12</v>
      </c>
      <c r="D17" s="2">
        <v>9</v>
      </c>
      <c r="E17" s="2">
        <v>1</v>
      </c>
      <c r="F17" s="2">
        <v>4</v>
      </c>
      <c r="G17" s="2">
        <v>12</v>
      </c>
      <c r="H17" s="2">
        <v>3</v>
      </c>
      <c r="I17" s="2">
        <v>3</v>
      </c>
      <c r="J17" s="2">
        <v>1</v>
      </c>
      <c r="K17" s="2">
        <v>5</v>
      </c>
      <c r="L17" s="2">
        <v>6</v>
      </c>
      <c r="M17" s="2">
        <v>6</v>
      </c>
      <c r="N17" s="1">
        <v>50</v>
      </c>
      <c r="O17" s="1">
        <v>10779</v>
      </c>
      <c r="P17" s="1">
        <v>8</v>
      </c>
      <c r="Q17" s="1">
        <v>6261</v>
      </c>
      <c r="R17" s="1">
        <v>302</v>
      </c>
      <c r="S17" s="1">
        <v>2168</v>
      </c>
      <c r="T17" s="1">
        <v>93</v>
      </c>
      <c r="U17" s="2">
        <v>3646</v>
      </c>
      <c r="V17" s="2">
        <v>9</v>
      </c>
      <c r="W17" s="1">
        <v>1404</v>
      </c>
      <c r="X17" s="1">
        <v>144</v>
      </c>
      <c r="Y17" s="4">
        <v>51003</v>
      </c>
      <c r="Z17" s="1">
        <v>30</v>
      </c>
      <c r="AA17" s="1">
        <v>1215</v>
      </c>
      <c r="AB17" s="1">
        <v>1</v>
      </c>
      <c r="AC17" s="2">
        <v>745000</v>
      </c>
      <c r="AD17">
        <f t="shared" si="0"/>
        <v>52.2</v>
      </c>
      <c r="AE17" s="3">
        <f t="shared" si="1"/>
        <v>76476</v>
      </c>
      <c r="AF17">
        <f t="shared" si="2"/>
        <v>587</v>
      </c>
      <c r="AG17">
        <f t="shared" si="3"/>
        <v>7.6756106490925256E-3</v>
      </c>
      <c r="AH17" s="17">
        <v>78.681552370000006</v>
      </c>
      <c r="AI17">
        <f t="shared" si="4"/>
        <v>115272.99615034713</v>
      </c>
      <c r="AJ17" s="2">
        <v>10</v>
      </c>
      <c r="AK17">
        <f t="shared" si="5"/>
        <v>0.5714285714285714</v>
      </c>
      <c r="AL17">
        <f t="shared" si="6"/>
        <v>0.35276073619631904</v>
      </c>
      <c r="AM17">
        <f t="shared" si="7"/>
        <v>0.19298245614035087</v>
      </c>
      <c r="AN17">
        <f t="shared" si="8"/>
        <v>0.13636363636363635</v>
      </c>
      <c r="AO17">
        <f t="shared" si="9"/>
        <v>14</v>
      </c>
      <c r="AP17">
        <f t="shared" si="10"/>
        <v>0.14285714285714285</v>
      </c>
      <c r="AQ17">
        <f t="shared" si="11"/>
        <v>0.23674604106473657</v>
      </c>
      <c r="AR17">
        <f t="shared" si="12"/>
        <v>16950632.827814784</v>
      </c>
      <c r="AS17" s="2">
        <v>12</v>
      </c>
      <c r="AT17">
        <f t="shared" si="13"/>
        <v>0.15384615384615385</v>
      </c>
      <c r="AU17">
        <f t="shared" si="14"/>
        <v>0.31890379559091214</v>
      </c>
      <c r="AV17">
        <f t="shared" si="15"/>
        <v>299770.92606380471</v>
      </c>
      <c r="AW17" s="2">
        <v>3</v>
      </c>
      <c r="AX17">
        <f t="shared" si="16"/>
        <v>0.3</v>
      </c>
      <c r="AY17" s="2">
        <v>5</v>
      </c>
      <c r="AZ17">
        <f t="shared" si="17"/>
        <v>0.10256410256410256</v>
      </c>
      <c r="BA17">
        <f t="shared" si="18"/>
        <v>0.32007460841816665</v>
      </c>
      <c r="BB17">
        <f t="shared" si="19"/>
        <v>2649721.1296692584</v>
      </c>
      <c r="BC17" s="2">
        <v>3</v>
      </c>
      <c r="BD17">
        <f t="shared" si="20"/>
        <v>0.13043478260869565</v>
      </c>
      <c r="BE17">
        <f t="shared" si="21"/>
        <v>0.22614344762461452</v>
      </c>
      <c r="BF17">
        <f t="shared" si="22"/>
        <v>2178374.8526125783</v>
      </c>
      <c r="BG17">
        <f t="shared" si="23"/>
        <v>2</v>
      </c>
      <c r="BH17">
        <f t="shared" si="24"/>
        <v>0.08</v>
      </c>
      <c r="BI17">
        <f t="shared" si="25"/>
        <v>0.20908415908706512</v>
      </c>
      <c r="BJ17">
        <f t="shared" si="26"/>
        <v>815851.40779186343</v>
      </c>
      <c r="BK17">
        <f t="shared" si="27"/>
        <v>18</v>
      </c>
      <c r="BL17">
        <f t="shared" si="28"/>
        <v>0.14423076923076922</v>
      </c>
      <c r="BM17">
        <f t="shared" si="29"/>
        <v>0.27137632306343962</v>
      </c>
      <c r="BN17">
        <f t="shared" si="30"/>
        <v>1057103.7911585153</v>
      </c>
      <c r="BO17">
        <f t="shared" si="31"/>
        <v>15</v>
      </c>
      <c r="BP17">
        <f t="shared" si="32"/>
        <v>0.17333333333333334</v>
      </c>
      <c r="BQ17">
        <f t="shared" si="33"/>
        <v>0.26350118184474014</v>
      </c>
      <c r="BR17">
        <f t="shared" si="34"/>
        <v>419234.9300071465</v>
      </c>
      <c r="BS17">
        <f t="shared" si="35"/>
        <v>0.26368993667052493</v>
      </c>
    </row>
    <row r="18" spans="1:71" x14ac:dyDescent="0.2">
      <c r="A18" s="2" t="s">
        <v>38</v>
      </c>
      <c r="B18" s="1">
        <v>8</v>
      </c>
      <c r="C18" s="1">
        <v>6</v>
      </c>
      <c r="D18" s="2">
        <v>2</v>
      </c>
      <c r="E18" s="2">
        <v>0</v>
      </c>
      <c r="F18" s="2">
        <v>1</v>
      </c>
      <c r="G18" s="2">
        <v>4</v>
      </c>
      <c r="H18" s="2">
        <v>1</v>
      </c>
      <c r="I18" s="2">
        <v>0</v>
      </c>
      <c r="J18" s="2">
        <v>0</v>
      </c>
      <c r="K18" s="2">
        <v>3</v>
      </c>
      <c r="L18" s="2">
        <v>1</v>
      </c>
      <c r="M18" s="2">
        <v>1</v>
      </c>
      <c r="N18" s="1">
        <v>13</v>
      </c>
      <c r="O18" s="1">
        <v>1392</v>
      </c>
      <c r="P18" s="1">
        <v>5</v>
      </c>
      <c r="Q18" s="1">
        <v>1266</v>
      </c>
      <c r="R18" s="1">
        <v>45</v>
      </c>
      <c r="S18" s="1">
        <v>558</v>
      </c>
      <c r="T18" s="1">
        <v>20</v>
      </c>
      <c r="U18" s="2">
        <v>1698</v>
      </c>
      <c r="V18" s="2">
        <v>6</v>
      </c>
      <c r="W18" s="1">
        <v>305</v>
      </c>
      <c r="X18" s="1">
        <v>26</v>
      </c>
      <c r="Y18" s="4">
        <v>9731</v>
      </c>
      <c r="Z18" s="1">
        <v>3</v>
      </c>
      <c r="AA18" s="1">
        <v>387</v>
      </c>
      <c r="AB18" s="1">
        <v>0</v>
      </c>
      <c r="AC18" s="2">
        <v>443000</v>
      </c>
      <c r="AD18">
        <f t="shared" si="0"/>
        <v>9.9</v>
      </c>
      <c r="AE18" s="3">
        <f t="shared" si="1"/>
        <v>15337</v>
      </c>
      <c r="AF18">
        <f t="shared" si="2"/>
        <v>105</v>
      </c>
      <c r="AG18">
        <f t="shared" si="3"/>
        <v>6.8461889548151527E-3</v>
      </c>
      <c r="AH18" s="17">
        <v>73.954316230000003</v>
      </c>
      <c r="AI18">
        <f t="shared" si="4"/>
        <v>114569.4290928798</v>
      </c>
      <c r="AJ18" s="2">
        <v>5</v>
      </c>
      <c r="AK18">
        <f t="shared" si="5"/>
        <v>0.21428571428571427</v>
      </c>
      <c r="AL18">
        <f t="shared" si="6"/>
        <v>1.5337423312883436E-2</v>
      </c>
      <c r="AM18">
        <f t="shared" si="7"/>
        <v>8.771929824561403E-2</v>
      </c>
      <c r="AN18">
        <f t="shared" si="8"/>
        <v>2.2727272727272728E-2</v>
      </c>
      <c r="AO18">
        <f t="shared" si="9"/>
        <v>3</v>
      </c>
      <c r="AP18">
        <f t="shared" si="10"/>
        <v>0</v>
      </c>
      <c r="AQ18">
        <f t="shared" si="11"/>
        <v>4.5449006649361835E-2</v>
      </c>
      <c r="AR18">
        <f t="shared" si="12"/>
        <v>15834217.385348177</v>
      </c>
      <c r="AS18" s="2">
        <v>4</v>
      </c>
      <c r="AT18">
        <f t="shared" si="13"/>
        <v>3.0769230769230771E-2</v>
      </c>
      <c r="AU18">
        <f t="shared" si="14"/>
        <v>8.2737814332906348E-2</v>
      </c>
      <c r="AV18">
        <f t="shared" si="15"/>
        <v>345915.838021203</v>
      </c>
      <c r="AW18" s="2">
        <v>0</v>
      </c>
      <c r="AX18">
        <f t="shared" si="16"/>
        <v>0</v>
      </c>
      <c r="AY18" s="2">
        <v>3</v>
      </c>
      <c r="AZ18">
        <f t="shared" si="17"/>
        <v>5.128205128205128E-2</v>
      </c>
      <c r="BA18">
        <f t="shared" si="18"/>
        <v>5.4647295444841454E-2</v>
      </c>
      <c r="BB18">
        <f t="shared" si="19"/>
        <v>1883796.9446460071</v>
      </c>
      <c r="BC18" s="2">
        <v>1</v>
      </c>
      <c r="BD18">
        <f t="shared" si="20"/>
        <v>4.3478260869565216E-2</v>
      </c>
      <c r="BE18">
        <f t="shared" si="21"/>
        <v>5.6242294216104778E-2</v>
      </c>
      <c r="BF18">
        <f t="shared" si="22"/>
        <v>1664693.1931231655</v>
      </c>
      <c r="BG18">
        <f t="shared" si="23"/>
        <v>0</v>
      </c>
      <c r="BH18">
        <f t="shared" si="24"/>
        <v>0</v>
      </c>
      <c r="BI18">
        <f t="shared" si="25"/>
        <v>3.8949804097527706E-2</v>
      </c>
      <c r="BJ18">
        <f t="shared" si="26"/>
        <v>1059479.2300626577</v>
      </c>
      <c r="BK18">
        <f t="shared" si="27"/>
        <v>5</v>
      </c>
      <c r="BL18">
        <f t="shared" si="28"/>
        <v>1.9230769230769232E-2</v>
      </c>
      <c r="BM18">
        <f t="shared" si="29"/>
        <v>5.7463089058181087E-2</v>
      </c>
      <c r="BN18">
        <f t="shared" si="30"/>
        <v>2185305.9244934875</v>
      </c>
      <c r="BO18">
        <f t="shared" si="31"/>
        <v>4</v>
      </c>
      <c r="BP18">
        <f t="shared" si="32"/>
        <v>2.6666666666666668E-2</v>
      </c>
      <c r="BQ18">
        <f t="shared" si="33"/>
        <v>6.2269673067219082E-2</v>
      </c>
      <c r="BR18">
        <f t="shared" si="34"/>
        <v>362231.97166622506</v>
      </c>
      <c r="BS18">
        <f t="shared" si="35"/>
        <v>5.6822710980877475E-2</v>
      </c>
    </row>
    <row r="19" spans="1:71" x14ac:dyDescent="0.2">
      <c r="A19" s="2" t="s">
        <v>39</v>
      </c>
      <c r="B19" s="1">
        <v>49</v>
      </c>
      <c r="C19" s="1">
        <v>10</v>
      </c>
      <c r="D19" s="2">
        <v>3</v>
      </c>
      <c r="E19" s="2">
        <v>0</v>
      </c>
      <c r="F19" s="2">
        <v>1</v>
      </c>
      <c r="G19" s="2">
        <v>4</v>
      </c>
      <c r="H19" s="2">
        <v>1</v>
      </c>
      <c r="I19" s="2">
        <v>1</v>
      </c>
      <c r="J19" s="2">
        <v>0</v>
      </c>
      <c r="K19" s="2">
        <v>3</v>
      </c>
      <c r="L19" s="2">
        <v>2</v>
      </c>
      <c r="M19" s="2">
        <v>3</v>
      </c>
      <c r="N19" s="1">
        <v>18</v>
      </c>
      <c r="O19" s="1">
        <v>16544</v>
      </c>
      <c r="P19" s="1">
        <v>46</v>
      </c>
      <c r="Q19" s="1">
        <v>13495</v>
      </c>
      <c r="R19" s="1">
        <v>792</v>
      </c>
      <c r="S19" s="1">
        <v>6169</v>
      </c>
      <c r="T19" s="1">
        <v>365</v>
      </c>
      <c r="U19" s="2">
        <v>6621</v>
      </c>
      <c r="V19" s="2">
        <v>36</v>
      </c>
      <c r="W19" s="4">
        <v>2772</v>
      </c>
      <c r="X19" s="1">
        <v>572</v>
      </c>
      <c r="Y19" s="4">
        <v>86546</v>
      </c>
      <c r="Z19" s="1">
        <v>199</v>
      </c>
      <c r="AA19" s="1">
        <v>3729</v>
      </c>
      <c r="AB19" s="1">
        <v>7</v>
      </c>
      <c r="AC19" s="2">
        <v>1768000</v>
      </c>
      <c r="AD19">
        <f t="shared" si="0"/>
        <v>21.8</v>
      </c>
      <c r="AE19" s="3">
        <f t="shared" si="1"/>
        <v>135876</v>
      </c>
      <c r="AF19">
        <f t="shared" si="2"/>
        <v>2017</v>
      </c>
      <c r="AG19">
        <f t="shared" si="3"/>
        <v>1.4844416968412375E-2</v>
      </c>
      <c r="AH19" s="17">
        <v>31.844473010000002</v>
      </c>
      <c r="AI19">
        <f t="shared" si="4"/>
        <v>198481.63370214496</v>
      </c>
      <c r="AJ19" s="2">
        <v>7</v>
      </c>
      <c r="AK19">
        <f t="shared" si="5"/>
        <v>0.35714285714285715</v>
      </c>
      <c r="AL19">
        <f t="shared" si="6"/>
        <v>0.1411042944785276</v>
      </c>
      <c r="AM19">
        <f t="shared" si="7"/>
        <v>0.15789473684210525</v>
      </c>
      <c r="AN19">
        <f t="shared" si="8"/>
        <v>6.8181818181818177E-2</v>
      </c>
      <c r="AO19">
        <f t="shared" si="9"/>
        <v>4</v>
      </c>
      <c r="AP19">
        <f t="shared" si="10"/>
        <v>1.2987012987012988E-2</v>
      </c>
      <c r="AQ19">
        <f t="shared" si="11"/>
        <v>0.11028681925113956</v>
      </c>
      <c r="AR19">
        <f t="shared" si="12"/>
        <v>24989493.575361982</v>
      </c>
      <c r="AS19" s="2">
        <v>4</v>
      </c>
      <c r="AT19">
        <f t="shared" si="13"/>
        <v>3.0769230769230771E-2</v>
      </c>
      <c r="AU19">
        <f t="shared" si="14"/>
        <v>0.15074833142317803</v>
      </c>
      <c r="AV19">
        <f t="shared" si="15"/>
        <v>787723.74283163785</v>
      </c>
      <c r="AW19" s="2">
        <v>1</v>
      </c>
      <c r="AX19">
        <f t="shared" si="16"/>
        <v>0.1</v>
      </c>
      <c r="AY19" s="2">
        <v>3</v>
      </c>
      <c r="AZ19">
        <f t="shared" si="17"/>
        <v>5.128205128205128E-2</v>
      </c>
      <c r="BA19">
        <f t="shared" si="18"/>
        <v>0.14579541113283445</v>
      </c>
      <c r="BB19">
        <f t="shared" si="19"/>
        <v>3613522.2458918123</v>
      </c>
      <c r="BC19" s="2">
        <v>1</v>
      </c>
      <c r="BD19">
        <f t="shared" si="20"/>
        <v>4.3478260869565216E-2</v>
      </c>
      <c r="BE19">
        <f t="shared" si="21"/>
        <v>0.10951710841277884</v>
      </c>
      <c r="BF19">
        <f t="shared" si="22"/>
        <v>3923963.7486612666</v>
      </c>
      <c r="BG19">
        <f t="shared" si="23"/>
        <v>0</v>
      </c>
      <c r="BH19">
        <f t="shared" si="24"/>
        <v>0</v>
      </c>
      <c r="BI19">
        <f t="shared" si="25"/>
        <v>9.6770072839656315E-2</v>
      </c>
      <c r="BJ19">
        <f t="shared" si="26"/>
        <v>2030054.8323880718</v>
      </c>
      <c r="BK19">
        <f t="shared" si="27"/>
        <v>6</v>
      </c>
      <c r="BL19">
        <f t="shared" si="28"/>
        <v>2.8846153846153848E-2</v>
      </c>
      <c r="BM19">
        <f t="shared" si="29"/>
        <v>0.11695712263196928</v>
      </c>
      <c r="BN19">
        <f t="shared" si="30"/>
        <v>1802731.2151194972</v>
      </c>
      <c r="BO19">
        <f t="shared" si="31"/>
        <v>5</v>
      </c>
      <c r="BP19">
        <f t="shared" si="32"/>
        <v>0.04</v>
      </c>
      <c r="BQ19">
        <f t="shared" si="33"/>
        <v>0.11917536451278785</v>
      </c>
      <c r="BR19">
        <f t="shared" si="34"/>
        <v>740697.37100949325</v>
      </c>
      <c r="BS19">
        <f t="shared" si="35"/>
        <v>0.12132146145776349</v>
      </c>
    </row>
    <row r="20" spans="1:71" x14ac:dyDescent="0.2">
      <c r="A20" s="2" t="s">
        <v>40</v>
      </c>
      <c r="B20" s="1">
        <v>12</v>
      </c>
      <c r="C20" s="1">
        <v>7</v>
      </c>
      <c r="D20" s="2">
        <v>4</v>
      </c>
      <c r="E20" s="2">
        <v>0</v>
      </c>
      <c r="F20" s="2">
        <v>2</v>
      </c>
      <c r="G20" s="2">
        <v>8</v>
      </c>
      <c r="H20" s="2">
        <v>1</v>
      </c>
      <c r="I20" s="2">
        <v>1</v>
      </c>
      <c r="J20" s="2">
        <v>0</v>
      </c>
      <c r="K20" s="2">
        <v>3</v>
      </c>
      <c r="L20" s="2">
        <v>3</v>
      </c>
      <c r="M20" s="2">
        <v>2</v>
      </c>
      <c r="N20" s="1">
        <v>24</v>
      </c>
      <c r="O20" s="1">
        <v>4231</v>
      </c>
      <c r="P20" s="1">
        <v>14</v>
      </c>
      <c r="Q20" s="1">
        <v>6489</v>
      </c>
      <c r="R20" s="1">
        <v>275</v>
      </c>
      <c r="S20" s="1">
        <v>1851</v>
      </c>
      <c r="T20" s="1">
        <v>96</v>
      </c>
      <c r="U20" s="2">
        <v>2813</v>
      </c>
      <c r="V20" s="2">
        <v>14</v>
      </c>
      <c r="W20" s="4">
        <v>1426</v>
      </c>
      <c r="X20" s="1">
        <v>207</v>
      </c>
      <c r="Y20" s="4">
        <v>31475</v>
      </c>
      <c r="Z20" s="1">
        <v>31</v>
      </c>
      <c r="AA20" s="1">
        <v>980</v>
      </c>
      <c r="AB20" s="1">
        <v>5</v>
      </c>
      <c r="AC20" s="2">
        <v>819000</v>
      </c>
      <c r="AD20">
        <f t="shared" si="0"/>
        <v>16.5</v>
      </c>
      <c r="AE20" s="3">
        <f t="shared" si="1"/>
        <v>49265</v>
      </c>
      <c r="AF20">
        <f t="shared" si="2"/>
        <v>642</v>
      </c>
      <c r="AG20">
        <f t="shared" si="3"/>
        <v>1.3031563990662742E-2</v>
      </c>
      <c r="AH20" s="17">
        <v>65.514669319999996</v>
      </c>
      <c r="AI20">
        <f t="shared" si="4"/>
        <v>195610.92024544242</v>
      </c>
      <c r="AJ20" s="2">
        <v>5</v>
      </c>
      <c r="AK20">
        <f t="shared" si="5"/>
        <v>0.21428571428571427</v>
      </c>
      <c r="AL20">
        <f t="shared" si="6"/>
        <v>2.7607361963190184E-2</v>
      </c>
      <c r="AM20">
        <f t="shared" si="7"/>
        <v>0.10526315789473684</v>
      </c>
      <c r="AN20">
        <f t="shared" si="8"/>
        <v>4.5454545454545456E-2</v>
      </c>
      <c r="AO20">
        <f t="shared" si="9"/>
        <v>6</v>
      </c>
      <c r="AP20">
        <f t="shared" si="10"/>
        <v>3.896103896103896E-2</v>
      </c>
      <c r="AQ20">
        <f t="shared" si="11"/>
        <v>6.845722085470228E-2</v>
      </c>
      <c r="AR20">
        <f t="shared" si="12"/>
        <v>30122084.874343209</v>
      </c>
      <c r="AS20" s="2">
        <v>8</v>
      </c>
      <c r="AT20">
        <f t="shared" si="13"/>
        <v>9.2307692307692313E-2</v>
      </c>
      <c r="AU20">
        <f t="shared" si="14"/>
        <v>0.11596103283219847</v>
      </c>
      <c r="AV20">
        <f t="shared" si="15"/>
        <v>553671.99106019526</v>
      </c>
      <c r="AW20" s="2">
        <v>1</v>
      </c>
      <c r="AX20">
        <f t="shared" si="16"/>
        <v>0.1</v>
      </c>
      <c r="AY20" s="2">
        <v>3</v>
      </c>
      <c r="AZ20">
        <f t="shared" si="17"/>
        <v>5.128205128205128E-2</v>
      </c>
      <c r="BA20">
        <f t="shared" si="18"/>
        <v>0.10587428930987214</v>
      </c>
      <c r="BB20">
        <f t="shared" si="19"/>
        <v>2618129.1765901227</v>
      </c>
      <c r="BC20" s="2">
        <v>1</v>
      </c>
      <c r="BD20">
        <f t="shared" si="20"/>
        <v>4.3478260869565216E-2</v>
      </c>
      <c r="BE20">
        <f t="shared" si="21"/>
        <v>6.3859758820169324E-2</v>
      </c>
      <c r="BF20">
        <f t="shared" si="22"/>
        <v>6657160.89555931</v>
      </c>
      <c r="BG20">
        <f t="shared" si="23"/>
        <v>0</v>
      </c>
      <c r="BH20">
        <f t="shared" si="24"/>
        <v>0</v>
      </c>
      <c r="BI20">
        <f t="shared" si="25"/>
        <v>4.8839995974319511E-2</v>
      </c>
      <c r="BJ20">
        <f t="shared" si="26"/>
        <v>2482957.8809769675</v>
      </c>
      <c r="BK20">
        <f t="shared" si="27"/>
        <v>11</v>
      </c>
      <c r="BL20">
        <f t="shared" si="28"/>
        <v>7.6923076923076927E-2</v>
      </c>
      <c r="BM20">
        <f t="shared" si="29"/>
        <v>9.4532461403627061E-2</v>
      </c>
      <c r="BN20">
        <f t="shared" si="30"/>
        <v>1949518.3142463798</v>
      </c>
      <c r="BO20">
        <f t="shared" si="31"/>
        <v>9</v>
      </c>
      <c r="BP20">
        <f t="shared" si="32"/>
        <v>9.3333333333333338E-2</v>
      </c>
      <c r="BQ20">
        <f t="shared" si="33"/>
        <v>0.10137545481103763</v>
      </c>
      <c r="BR20">
        <f t="shared" si="34"/>
        <v>921563.49507344572</v>
      </c>
      <c r="BS20">
        <f t="shared" si="35"/>
        <v>8.5557173429418043E-2</v>
      </c>
    </row>
    <row r="21" spans="1:71" x14ac:dyDescent="0.2">
      <c r="A21" s="2" t="s">
        <v>41</v>
      </c>
      <c r="B21" s="1">
        <v>24</v>
      </c>
      <c r="C21" s="1">
        <v>7</v>
      </c>
      <c r="D21" s="2">
        <v>8</v>
      </c>
      <c r="E21" s="2">
        <v>2</v>
      </c>
      <c r="F21" s="2">
        <v>4</v>
      </c>
      <c r="G21" s="2">
        <v>16</v>
      </c>
      <c r="H21" s="2">
        <v>4</v>
      </c>
      <c r="I21" s="2">
        <v>1</v>
      </c>
      <c r="J21" s="2">
        <v>2</v>
      </c>
      <c r="K21" s="2">
        <v>13</v>
      </c>
      <c r="L21" s="2">
        <v>6</v>
      </c>
      <c r="M21" s="2">
        <v>6</v>
      </c>
      <c r="N21" s="1">
        <v>62</v>
      </c>
      <c r="O21" s="1">
        <v>6237</v>
      </c>
      <c r="P21" s="1">
        <v>12</v>
      </c>
      <c r="Q21" s="1">
        <v>10542</v>
      </c>
      <c r="R21" s="1">
        <v>404</v>
      </c>
      <c r="S21" s="1">
        <v>3914</v>
      </c>
      <c r="T21" s="1">
        <v>222</v>
      </c>
      <c r="U21" s="2">
        <v>6673</v>
      </c>
      <c r="V21" s="2">
        <v>36</v>
      </c>
      <c r="W21" s="4">
        <v>1638</v>
      </c>
      <c r="X21" s="1">
        <v>227</v>
      </c>
      <c r="Y21" s="4">
        <v>47745</v>
      </c>
      <c r="Z21" s="1">
        <v>120</v>
      </c>
      <c r="AA21" s="1">
        <v>3681</v>
      </c>
      <c r="AB21" s="1">
        <v>11</v>
      </c>
      <c r="AC21" s="2">
        <v>960000</v>
      </c>
      <c r="AD21">
        <f t="shared" si="0"/>
        <v>37.9</v>
      </c>
      <c r="AE21" s="3">
        <f t="shared" si="1"/>
        <v>80430</v>
      </c>
      <c r="AF21">
        <f t="shared" si="2"/>
        <v>1032</v>
      </c>
      <c r="AG21">
        <f t="shared" si="3"/>
        <v>1.2831033196568444E-2</v>
      </c>
      <c r="AH21" s="17">
        <v>75.060532690000002</v>
      </c>
      <c r="AI21">
        <f t="shared" si="4"/>
        <v>159290.72939991293</v>
      </c>
      <c r="AJ21" s="2">
        <v>7</v>
      </c>
      <c r="AK21">
        <f t="shared" si="5"/>
        <v>0.35714285714285715</v>
      </c>
      <c r="AL21">
        <f t="shared" si="6"/>
        <v>6.4417177914110432E-2</v>
      </c>
      <c r="AM21">
        <f t="shared" si="7"/>
        <v>0.10526315789473684</v>
      </c>
      <c r="AN21">
        <f t="shared" si="8"/>
        <v>0.13636363636363635</v>
      </c>
      <c r="AO21">
        <f t="shared" si="9"/>
        <v>14</v>
      </c>
      <c r="AP21">
        <f t="shared" si="10"/>
        <v>0.14285714285714285</v>
      </c>
      <c r="AQ21">
        <f t="shared" si="11"/>
        <v>0.14010489833060061</v>
      </c>
      <c r="AR21">
        <f t="shared" si="12"/>
        <v>25579156.588997804</v>
      </c>
      <c r="AS21" s="2">
        <v>16</v>
      </c>
      <c r="AT21">
        <f t="shared" si="13"/>
        <v>0.2153846153846154</v>
      </c>
      <c r="AU21">
        <f t="shared" si="14"/>
        <v>0.22771860041798692</v>
      </c>
      <c r="AV21">
        <f t="shared" si="15"/>
        <v>1213330.0500035302</v>
      </c>
      <c r="AW21" s="2">
        <v>1</v>
      </c>
      <c r="AX21">
        <f t="shared" si="16"/>
        <v>0.1</v>
      </c>
      <c r="AY21" s="2">
        <v>13</v>
      </c>
      <c r="AZ21">
        <f t="shared" si="17"/>
        <v>0.30769230769230771</v>
      </c>
      <c r="BA21">
        <f t="shared" si="18"/>
        <v>0.18940875075844404</v>
      </c>
      <c r="BB21">
        <f t="shared" si="19"/>
        <v>2471652.1307115969</v>
      </c>
      <c r="BC21" s="2">
        <v>4</v>
      </c>
      <c r="BD21">
        <f t="shared" si="20"/>
        <v>0.17391304347826086</v>
      </c>
      <c r="BE21">
        <f t="shared" si="21"/>
        <v>0.15783945210634434</v>
      </c>
      <c r="BF21">
        <f t="shared" si="22"/>
        <v>5013246.8470864277</v>
      </c>
      <c r="BG21">
        <f t="shared" si="23"/>
        <v>4</v>
      </c>
      <c r="BH21">
        <f t="shared" si="24"/>
        <v>0.16</v>
      </c>
      <c r="BI21">
        <f t="shared" si="25"/>
        <v>0.14921494617749056</v>
      </c>
      <c r="BJ21">
        <f t="shared" si="26"/>
        <v>1968884.0325633443</v>
      </c>
      <c r="BK21">
        <f t="shared" si="27"/>
        <v>22</v>
      </c>
      <c r="BL21">
        <f t="shared" si="28"/>
        <v>0.18269230769230768</v>
      </c>
      <c r="BM21">
        <f t="shared" si="29"/>
        <v>0.19392739162677813</v>
      </c>
      <c r="BN21">
        <f t="shared" si="30"/>
        <v>2582816.8493305668</v>
      </c>
      <c r="BO21">
        <f t="shared" si="31"/>
        <v>17</v>
      </c>
      <c r="BP21">
        <f t="shared" si="32"/>
        <v>0.2</v>
      </c>
      <c r="BQ21">
        <f t="shared" si="33"/>
        <v>0.20514301649270977</v>
      </c>
      <c r="BR21">
        <f t="shared" si="34"/>
        <v>599333.84352174273</v>
      </c>
      <c r="BS21">
        <f t="shared" si="35"/>
        <v>0.18047957941576492</v>
      </c>
    </row>
    <row r="22" spans="1:71" x14ac:dyDescent="0.2">
      <c r="A22" s="2" t="s">
        <v>42</v>
      </c>
      <c r="B22" s="1">
        <v>27</v>
      </c>
      <c r="C22" s="1">
        <v>8</v>
      </c>
      <c r="D22" s="2">
        <v>6</v>
      </c>
      <c r="E22" s="2">
        <v>1</v>
      </c>
      <c r="F22" s="2">
        <v>3</v>
      </c>
      <c r="G22" s="2">
        <v>9</v>
      </c>
      <c r="H22" s="2">
        <v>2</v>
      </c>
      <c r="I22" s="2">
        <v>2</v>
      </c>
      <c r="J22" s="2">
        <v>1</v>
      </c>
      <c r="K22" s="2">
        <v>6</v>
      </c>
      <c r="L22" s="2">
        <v>4</v>
      </c>
      <c r="M22" s="2">
        <v>5</v>
      </c>
      <c r="N22" s="1">
        <v>39</v>
      </c>
      <c r="O22" s="1">
        <v>3429</v>
      </c>
      <c r="P22" s="1">
        <v>8</v>
      </c>
      <c r="Q22" s="1">
        <v>4649</v>
      </c>
      <c r="R22" s="1">
        <v>261</v>
      </c>
      <c r="S22" s="1">
        <v>1707</v>
      </c>
      <c r="T22" s="1">
        <v>148</v>
      </c>
      <c r="U22" s="2">
        <v>2396</v>
      </c>
      <c r="V22" s="2">
        <v>33</v>
      </c>
      <c r="W22" s="1">
        <v>1047</v>
      </c>
      <c r="X22" s="1">
        <v>190</v>
      </c>
      <c r="Y22" s="4">
        <v>29718</v>
      </c>
      <c r="Z22" s="1">
        <v>75</v>
      </c>
      <c r="AA22" s="1">
        <v>1167</v>
      </c>
      <c r="AB22" s="1">
        <v>5</v>
      </c>
      <c r="AC22" s="2">
        <v>448000</v>
      </c>
      <c r="AD22">
        <f t="shared" si="0"/>
        <v>27.3</v>
      </c>
      <c r="AE22" s="3">
        <f t="shared" si="1"/>
        <v>44113</v>
      </c>
      <c r="AF22">
        <f t="shared" si="2"/>
        <v>720</v>
      </c>
      <c r="AG22">
        <f t="shared" si="3"/>
        <v>1.632171922109129E-2</v>
      </c>
      <c r="AH22" s="17">
        <v>73.433874709999998</v>
      </c>
      <c r="AI22">
        <f t="shared" si="4"/>
        <v>118658.91996638205</v>
      </c>
      <c r="AJ22" s="2">
        <v>5</v>
      </c>
      <c r="AK22">
        <f t="shared" si="5"/>
        <v>0.21428571428571427</v>
      </c>
      <c r="AL22">
        <f t="shared" si="6"/>
        <v>7.3619631901840496E-2</v>
      </c>
      <c r="AM22">
        <f t="shared" si="7"/>
        <v>0.12280701754385964</v>
      </c>
      <c r="AN22">
        <f t="shared" si="8"/>
        <v>0.11363636363636363</v>
      </c>
      <c r="AO22">
        <f t="shared" si="9"/>
        <v>10</v>
      </c>
      <c r="AP22">
        <f t="shared" si="10"/>
        <v>9.0909090909090912E-2</v>
      </c>
      <c r="AQ22">
        <f t="shared" si="11"/>
        <v>0.10957753768134783</v>
      </c>
      <c r="AR22">
        <f t="shared" si="12"/>
        <v>19915650.002813034</v>
      </c>
      <c r="AS22" s="2">
        <v>9</v>
      </c>
      <c r="AT22">
        <f t="shared" si="13"/>
        <v>0.1076923076923077</v>
      </c>
      <c r="AU22">
        <f t="shared" si="14"/>
        <v>0.13285579451223622</v>
      </c>
      <c r="AV22">
        <f t="shared" si="15"/>
        <v>645040.22651926661</v>
      </c>
      <c r="AW22" s="2">
        <v>2</v>
      </c>
      <c r="AX22">
        <f t="shared" si="16"/>
        <v>0.2</v>
      </c>
      <c r="AY22" s="2">
        <v>6</v>
      </c>
      <c r="AZ22">
        <f t="shared" si="17"/>
        <v>0.12820512820512819</v>
      </c>
      <c r="BA22">
        <f t="shared" si="18"/>
        <v>0.17586013168835254</v>
      </c>
      <c r="BB22">
        <f t="shared" si="19"/>
        <v>1431846.7407201843</v>
      </c>
      <c r="BC22" s="2">
        <v>2</v>
      </c>
      <c r="BD22">
        <f t="shared" si="20"/>
        <v>8.6956521739130432E-2</v>
      </c>
      <c r="BE22">
        <f t="shared" si="21"/>
        <v>0.10460908889138874</v>
      </c>
      <c r="BF22">
        <f t="shared" si="22"/>
        <v>3263522.1962524233</v>
      </c>
      <c r="BG22">
        <f t="shared" si="23"/>
        <v>2</v>
      </c>
      <c r="BH22">
        <f t="shared" si="24"/>
        <v>0.08</v>
      </c>
      <c r="BI22">
        <f t="shared" si="25"/>
        <v>0.1048422904724164</v>
      </c>
      <c r="BJ22">
        <f t="shared" si="26"/>
        <v>1195620.80878946</v>
      </c>
      <c r="BK22">
        <f t="shared" si="27"/>
        <v>13</v>
      </c>
      <c r="BL22">
        <f t="shared" si="28"/>
        <v>9.6153846153846159E-2</v>
      </c>
      <c r="BM22">
        <f t="shared" si="29"/>
        <v>0.11527337692981865</v>
      </c>
      <c r="BN22">
        <f t="shared" si="30"/>
        <v>1526350.3897546206</v>
      </c>
      <c r="BO22">
        <f t="shared" si="31"/>
        <v>11</v>
      </c>
      <c r="BP22">
        <f t="shared" si="32"/>
        <v>0.12</v>
      </c>
      <c r="BQ22">
        <f t="shared" si="33"/>
        <v>0.13294637877459964</v>
      </c>
      <c r="BR22">
        <f t="shared" si="34"/>
        <v>578317.87168662227</v>
      </c>
      <c r="BS22">
        <f t="shared" si="35"/>
        <v>0.12513779985002288</v>
      </c>
    </row>
    <row r="23" spans="1:71" x14ac:dyDescent="0.2">
      <c r="A23" s="2" t="s">
        <v>43</v>
      </c>
      <c r="B23" s="1">
        <v>28</v>
      </c>
      <c r="C23" s="1">
        <v>9</v>
      </c>
      <c r="D23" s="2">
        <v>5</v>
      </c>
      <c r="E23" s="2">
        <v>1</v>
      </c>
      <c r="F23" s="2">
        <v>2</v>
      </c>
      <c r="G23" s="2">
        <v>12</v>
      </c>
      <c r="H23" s="2">
        <v>3</v>
      </c>
      <c r="I23" s="2">
        <v>2</v>
      </c>
      <c r="J23" s="2">
        <v>2</v>
      </c>
      <c r="K23" s="2">
        <v>5</v>
      </c>
      <c r="L23" s="2">
        <v>4</v>
      </c>
      <c r="M23" s="2">
        <v>4</v>
      </c>
      <c r="N23" s="1">
        <v>40</v>
      </c>
      <c r="O23" s="1">
        <v>8091</v>
      </c>
      <c r="P23" s="1">
        <v>13</v>
      </c>
      <c r="Q23" s="1">
        <v>5572</v>
      </c>
      <c r="R23" s="1">
        <v>256</v>
      </c>
      <c r="S23" s="1">
        <v>2337</v>
      </c>
      <c r="T23" s="1">
        <v>167</v>
      </c>
      <c r="U23" s="2">
        <v>3880</v>
      </c>
      <c r="V23" s="2">
        <v>19</v>
      </c>
      <c r="W23" s="4">
        <v>1828</v>
      </c>
      <c r="X23" s="1">
        <v>335</v>
      </c>
      <c r="Y23" s="4">
        <v>44824</v>
      </c>
      <c r="Z23" s="1">
        <v>48</v>
      </c>
      <c r="AA23" s="1">
        <v>744</v>
      </c>
      <c r="AB23" s="1">
        <v>1</v>
      </c>
      <c r="AC23" s="2">
        <v>872000</v>
      </c>
      <c r="AD23">
        <f t="shared" si="0"/>
        <v>28.3</v>
      </c>
      <c r="AE23" s="3">
        <f t="shared" si="1"/>
        <v>67276</v>
      </c>
      <c r="AF23">
        <f t="shared" si="2"/>
        <v>839</v>
      </c>
      <c r="AG23">
        <f t="shared" si="3"/>
        <v>1.2471014923598311E-2</v>
      </c>
      <c r="AH23" s="17">
        <v>28.97144441</v>
      </c>
      <c r="AI23">
        <f t="shared" si="4"/>
        <v>68872.187071631095</v>
      </c>
      <c r="AJ23" s="2">
        <v>5</v>
      </c>
      <c r="AK23">
        <f t="shared" si="5"/>
        <v>0.21428571428571427</v>
      </c>
      <c r="AL23">
        <f t="shared" si="6"/>
        <v>7.6687116564417179E-2</v>
      </c>
      <c r="AM23">
        <f t="shared" si="7"/>
        <v>0.14035087719298245</v>
      </c>
      <c r="AN23">
        <f t="shared" si="8"/>
        <v>9.0909090909090912E-2</v>
      </c>
      <c r="AO23">
        <f t="shared" si="9"/>
        <v>8</v>
      </c>
      <c r="AP23">
        <f t="shared" si="10"/>
        <v>6.4935064935064929E-2</v>
      </c>
      <c r="AQ23">
        <f t="shared" si="11"/>
        <v>0.10119980654368772</v>
      </c>
      <c r="AR23">
        <f t="shared" si="12"/>
        <v>12832198.682842644</v>
      </c>
      <c r="AS23" s="2">
        <v>12</v>
      </c>
      <c r="AT23">
        <f t="shared" si="13"/>
        <v>0.15384615384615385</v>
      </c>
      <c r="AU23">
        <f t="shared" si="14"/>
        <v>0.15654621452167464</v>
      </c>
      <c r="AV23">
        <f t="shared" si="15"/>
        <v>137689.40186066032</v>
      </c>
      <c r="AW23" s="2">
        <v>2</v>
      </c>
      <c r="AX23">
        <f t="shared" si="16"/>
        <v>0.2</v>
      </c>
      <c r="AY23" s="2">
        <v>5</v>
      </c>
      <c r="AZ23">
        <f t="shared" si="17"/>
        <v>0.10256410256410256</v>
      </c>
      <c r="BA23">
        <f t="shared" si="18"/>
        <v>0.1710386750264051</v>
      </c>
      <c r="BB23">
        <f t="shared" si="19"/>
        <v>1370496.799540349</v>
      </c>
      <c r="BC23" s="2">
        <v>3</v>
      </c>
      <c r="BD23">
        <f t="shared" si="20"/>
        <v>0.13043478260869565</v>
      </c>
      <c r="BE23">
        <f t="shared" si="21"/>
        <v>0.12313309827102981</v>
      </c>
      <c r="BF23">
        <f t="shared" si="22"/>
        <v>1311011.3407298243</v>
      </c>
      <c r="BG23">
        <f t="shared" si="23"/>
        <v>3</v>
      </c>
      <c r="BH23">
        <f t="shared" si="24"/>
        <v>0.12</v>
      </c>
      <c r="BI23">
        <f t="shared" si="25"/>
        <v>0.11552835518802584</v>
      </c>
      <c r="BJ23">
        <f t="shared" si="26"/>
        <v>586057.55683075415</v>
      </c>
      <c r="BK23">
        <f t="shared" si="27"/>
        <v>16</v>
      </c>
      <c r="BL23">
        <f t="shared" si="28"/>
        <v>0.125</v>
      </c>
      <c r="BM23">
        <f t="shared" si="29"/>
        <v>0.13319456617002629</v>
      </c>
      <c r="BN23">
        <f t="shared" si="30"/>
        <v>843947.37370371982</v>
      </c>
      <c r="BO23">
        <f t="shared" si="31"/>
        <v>14</v>
      </c>
      <c r="BP23">
        <f t="shared" si="32"/>
        <v>0.16</v>
      </c>
      <c r="BQ23">
        <f t="shared" si="33"/>
        <v>0.14870767269540275</v>
      </c>
      <c r="BR23">
        <f t="shared" si="34"/>
        <v>356133.61046916066</v>
      </c>
      <c r="BS23">
        <f t="shared" si="35"/>
        <v>0.13562119834517888</v>
      </c>
    </row>
    <row r="24" spans="1:71" x14ac:dyDescent="0.2">
      <c r="A24" s="2" t="s">
        <v>44</v>
      </c>
      <c r="B24" s="1">
        <v>8</v>
      </c>
      <c r="C24" s="1">
        <v>2</v>
      </c>
      <c r="D24" s="2">
        <v>3</v>
      </c>
      <c r="E24" s="2">
        <v>0</v>
      </c>
      <c r="F24" s="2">
        <v>2</v>
      </c>
      <c r="G24" s="2">
        <v>7</v>
      </c>
      <c r="H24" s="2">
        <v>3</v>
      </c>
      <c r="I24" s="2">
        <v>2</v>
      </c>
      <c r="J24" s="2">
        <v>1</v>
      </c>
      <c r="K24" s="2">
        <v>2</v>
      </c>
      <c r="L24" s="2">
        <v>3</v>
      </c>
      <c r="M24" s="2">
        <v>2</v>
      </c>
      <c r="N24" s="1">
        <v>25</v>
      </c>
      <c r="O24" s="1">
        <v>5554</v>
      </c>
      <c r="P24" s="1">
        <v>3</v>
      </c>
      <c r="Q24" s="1">
        <v>4102</v>
      </c>
      <c r="R24" s="1">
        <v>116</v>
      </c>
      <c r="S24" s="1">
        <v>2080</v>
      </c>
      <c r="T24" s="1">
        <v>86</v>
      </c>
      <c r="U24" s="2">
        <v>2270</v>
      </c>
      <c r="V24" s="2">
        <v>16</v>
      </c>
      <c r="W24" s="1">
        <v>1046</v>
      </c>
      <c r="X24" s="1">
        <v>83</v>
      </c>
      <c r="Y24" s="4">
        <v>25886</v>
      </c>
      <c r="Z24" s="1">
        <v>34</v>
      </c>
      <c r="AA24" s="1">
        <v>1904</v>
      </c>
      <c r="AB24" s="1">
        <v>7</v>
      </c>
      <c r="AC24" s="2">
        <v>528000</v>
      </c>
      <c r="AD24">
        <f t="shared" si="0"/>
        <v>14.7</v>
      </c>
      <c r="AE24" s="3">
        <f t="shared" si="1"/>
        <v>42842</v>
      </c>
      <c r="AF24">
        <f t="shared" si="2"/>
        <v>345</v>
      </c>
      <c r="AG24">
        <f t="shared" si="3"/>
        <v>8.0528453386863354E-3</v>
      </c>
      <c r="AH24" s="17">
        <v>73.871503739999994</v>
      </c>
      <c r="AI24">
        <f t="shared" si="4"/>
        <v>215292.71858701226</v>
      </c>
      <c r="AJ24" s="2">
        <v>4</v>
      </c>
      <c r="AK24">
        <f t="shared" si="5"/>
        <v>0.14285714285714285</v>
      </c>
      <c r="AL24">
        <f t="shared" si="6"/>
        <v>1.5337423312883436E-2</v>
      </c>
      <c r="AM24">
        <f t="shared" si="7"/>
        <v>1.7543859649122806E-2</v>
      </c>
      <c r="AN24">
        <f t="shared" si="8"/>
        <v>4.5454545454545456E-2</v>
      </c>
      <c r="AO24">
        <f t="shared" si="9"/>
        <v>5</v>
      </c>
      <c r="AP24">
        <f t="shared" si="10"/>
        <v>2.5974025974025976E-2</v>
      </c>
      <c r="AQ24">
        <f t="shared" si="11"/>
        <v>3.6771061787206447E-2</v>
      </c>
      <c r="AR24">
        <f t="shared" si="12"/>
        <v>52003876.224182196</v>
      </c>
      <c r="AS24" s="2">
        <v>7</v>
      </c>
      <c r="AT24">
        <f t="shared" si="13"/>
        <v>7.6923076923076927E-2</v>
      </c>
      <c r="AU24">
        <f t="shared" si="14"/>
        <v>8.4386165981258004E-2</v>
      </c>
      <c r="AV24">
        <f t="shared" si="15"/>
        <v>1666758.3067134295</v>
      </c>
      <c r="AW24" s="2">
        <v>2</v>
      </c>
      <c r="AX24">
        <f t="shared" si="16"/>
        <v>0.2</v>
      </c>
      <c r="AY24" s="2">
        <v>2</v>
      </c>
      <c r="AZ24">
        <f t="shared" si="17"/>
        <v>2.564102564102564E-2</v>
      </c>
      <c r="BA24">
        <f t="shared" si="18"/>
        <v>0.13523337603092206</v>
      </c>
      <c r="BB24">
        <f t="shared" si="19"/>
        <v>3033883.6743833567</v>
      </c>
      <c r="BC24" s="2">
        <v>3</v>
      </c>
      <c r="BD24">
        <f t="shared" si="20"/>
        <v>0.13043478260869565</v>
      </c>
      <c r="BE24">
        <f t="shared" si="21"/>
        <v>8.4621418905298118E-2</v>
      </c>
      <c r="BF24">
        <f t="shared" si="22"/>
        <v>3580900.8199283211</v>
      </c>
      <c r="BG24">
        <f t="shared" si="23"/>
        <v>1</v>
      </c>
      <c r="BH24">
        <f t="shared" si="24"/>
        <v>0.04</v>
      </c>
      <c r="BI24">
        <f t="shared" si="25"/>
        <v>4.4471221276839612E-2</v>
      </c>
      <c r="BJ24">
        <f t="shared" si="26"/>
        <v>3455104.7479152894</v>
      </c>
      <c r="BK24">
        <f t="shared" si="27"/>
        <v>10</v>
      </c>
      <c r="BL24">
        <f t="shared" si="28"/>
        <v>6.7307692307692304E-2</v>
      </c>
      <c r="BM24">
        <f t="shared" si="29"/>
        <v>7.202352861862063E-2</v>
      </c>
      <c r="BN24">
        <f t="shared" si="30"/>
        <v>2328243.5157786291</v>
      </c>
      <c r="BO24">
        <f t="shared" si="31"/>
        <v>9</v>
      </c>
      <c r="BP24">
        <f t="shared" si="32"/>
        <v>9.3333333333333338E-2</v>
      </c>
      <c r="BQ24">
        <f t="shared" si="33"/>
        <v>8.5862746660292671E-2</v>
      </c>
      <c r="BR24">
        <f t="shared" si="34"/>
        <v>899919.88280725956</v>
      </c>
      <c r="BS24">
        <f t="shared" si="35"/>
        <v>7.7624217037205359E-2</v>
      </c>
    </row>
    <row r="25" spans="1:71" x14ac:dyDescent="0.2">
      <c r="A25" s="2" t="s">
        <v>45</v>
      </c>
      <c r="B25" s="1">
        <v>27</v>
      </c>
      <c r="C25" s="1">
        <v>7</v>
      </c>
      <c r="D25" s="2">
        <v>6</v>
      </c>
      <c r="E25" s="2">
        <v>1</v>
      </c>
      <c r="F25" s="2">
        <v>2</v>
      </c>
      <c r="G25" s="2">
        <v>8</v>
      </c>
      <c r="H25" s="2">
        <v>2</v>
      </c>
      <c r="I25" s="2">
        <v>1</v>
      </c>
      <c r="J25" s="2">
        <v>1</v>
      </c>
      <c r="K25" s="2">
        <v>5</v>
      </c>
      <c r="L25" s="2">
        <v>4</v>
      </c>
      <c r="M25" s="2">
        <v>4</v>
      </c>
      <c r="N25" s="1">
        <v>34</v>
      </c>
      <c r="O25" s="1">
        <v>11842</v>
      </c>
      <c r="P25" s="1">
        <v>15</v>
      </c>
      <c r="Q25" s="1">
        <v>6680</v>
      </c>
      <c r="R25" s="1">
        <v>366</v>
      </c>
      <c r="S25" s="1">
        <v>4704</v>
      </c>
      <c r="T25" s="1">
        <v>268</v>
      </c>
      <c r="U25" s="2">
        <v>3197</v>
      </c>
      <c r="V25" s="2">
        <v>25</v>
      </c>
      <c r="W25" s="4">
        <v>2379</v>
      </c>
      <c r="X25" s="1">
        <v>433</v>
      </c>
      <c r="Y25" s="4">
        <v>53363</v>
      </c>
      <c r="Z25" s="1">
        <v>91</v>
      </c>
      <c r="AA25" s="1">
        <v>1388</v>
      </c>
      <c r="AB25" s="1">
        <v>2</v>
      </c>
      <c r="AC25" s="2">
        <v>1145000</v>
      </c>
      <c r="AD25">
        <f t="shared" si="0"/>
        <v>24.5</v>
      </c>
      <c r="AE25" s="3">
        <f t="shared" si="1"/>
        <v>83553</v>
      </c>
      <c r="AF25">
        <f t="shared" si="2"/>
        <v>1200</v>
      </c>
      <c r="AG25">
        <f t="shared" si="3"/>
        <v>1.4362141395282036E-2</v>
      </c>
      <c r="AH25" s="17">
        <v>36.191616770000003</v>
      </c>
      <c r="AI25">
        <f t="shared" si="4"/>
        <v>123425.23085648206</v>
      </c>
      <c r="AJ25" s="2">
        <v>7</v>
      </c>
      <c r="AK25">
        <f t="shared" si="5"/>
        <v>0.35714285714285715</v>
      </c>
      <c r="AL25">
        <f t="shared" si="6"/>
        <v>7.3619631901840496E-2</v>
      </c>
      <c r="AM25">
        <f t="shared" si="7"/>
        <v>0.10526315789473684</v>
      </c>
      <c r="AN25">
        <f t="shared" si="8"/>
        <v>9.0909090909090912E-2</v>
      </c>
      <c r="AO25">
        <f t="shared" si="9"/>
        <v>9</v>
      </c>
      <c r="AP25">
        <f t="shared" si="10"/>
        <v>7.792207792207792E-2</v>
      </c>
      <c r="AQ25">
        <f t="shared" si="11"/>
        <v>0.1123999345826921</v>
      </c>
      <c r="AR25">
        <f t="shared" si="12"/>
        <v>17182334.250174023</v>
      </c>
      <c r="AS25" s="2">
        <v>8</v>
      </c>
      <c r="AT25">
        <f t="shared" si="13"/>
        <v>9.2307692307692313E-2</v>
      </c>
      <c r="AU25">
        <f t="shared" si="14"/>
        <v>0.16802062967707138</v>
      </c>
      <c r="AV25">
        <f t="shared" si="15"/>
        <v>298974.97809231869</v>
      </c>
      <c r="AW25" s="2">
        <v>1</v>
      </c>
      <c r="AX25">
        <f t="shared" si="16"/>
        <v>0.1</v>
      </c>
      <c r="AY25" s="2">
        <v>5</v>
      </c>
      <c r="AZ25">
        <f t="shared" si="17"/>
        <v>0.10256410256410256</v>
      </c>
      <c r="BA25">
        <f t="shared" si="18"/>
        <v>0.14930335513157603</v>
      </c>
      <c r="BB25">
        <f t="shared" si="19"/>
        <v>2870539.1477147038</v>
      </c>
      <c r="BC25" s="2">
        <v>2</v>
      </c>
      <c r="BD25">
        <f t="shared" si="20"/>
        <v>8.6956521739130432E-2</v>
      </c>
      <c r="BE25">
        <f t="shared" si="21"/>
        <v>0.11373132630309984</v>
      </c>
      <c r="BF25">
        <f t="shared" si="22"/>
        <v>2125711.6036728276</v>
      </c>
      <c r="BG25">
        <f t="shared" si="23"/>
        <v>2</v>
      </c>
      <c r="BH25">
        <f t="shared" si="24"/>
        <v>0.08</v>
      </c>
      <c r="BI25">
        <f t="shared" si="25"/>
        <v>0.11169180061140024</v>
      </c>
      <c r="BJ25">
        <f t="shared" si="26"/>
        <v>1524242.2841619342</v>
      </c>
      <c r="BK25">
        <f t="shared" si="27"/>
        <v>12</v>
      </c>
      <c r="BL25">
        <f t="shared" si="28"/>
        <v>8.6538461538461536E-2</v>
      </c>
      <c r="BM25">
        <f t="shared" si="29"/>
        <v>0.13807557473201645</v>
      </c>
      <c r="BN25">
        <f t="shared" si="30"/>
        <v>837980.20785540761</v>
      </c>
      <c r="BO25">
        <f t="shared" si="31"/>
        <v>9</v>
      </c>
      <c r="BP25">
        <f t="shared" si="32"/>
        <v>9.3333333333333338E-2</v>
      </c>
      <c r="BQ25">
        <f t="shared" si="33"/>
        <v>0.14363901946724034</v>
      </c>
      <c r="BR25">
        <f t="shared" si="34"/>
        <v>599418.29605336976</v>
      </c>
      <c r="BS25">
        <f t="shared" si="35"/>
        <v>0.13383737721501376</v>
      </c>
    </row>
    <row r="26" spans="1:71" x14ac:dyDescent="0.2">
      <c r="A26" s="2" t="s">
        <v>46</v>
      </c>
      <c r="B26" s="1">
        <v>22</v>
      </c>
      <c r="C26" s="1">
        <v>7</v>
      </c>
      <c r="D26" s="2">
        <v>2</v>
      </c>
      <c r="E26" s="2">
        <v>0</v>
      </c>
      <c r="F26" s="2">
        <v>1</v>
      </c>
      <c r="G26" s="2">
        <v>5</v>
      </c>
      <c r="H26" s="2">
        <v>1</v>
      </c>
      <c r="I26" s="2">
        <v>1</v>
      </c>
      <c r="J26" s="2">
        <v>0</v>
      </c>
      <c r="K26" s="2">
        <v>1</v>
      </c>
      <c r="L26" s="2">
        <v>2</v>
      </c>
      <c r="M26" s="2">
        <v>2</v>
      </c>
      <c r="N26" s="1">
        <v>15</v>
      </c>
      <c r="O26" s="1">
        <v>5195</v>
      </c>
      <c r="P26" s="1">
        <v>48</v>
      </c>
      <c r="Q26" s="1">
        <v>5011</v>
      </c>
      <c r="R26" s="1">
        <v>323</v>
      </c>
      <c r="S26" s="1">
        <v>2992</v>
      </c>
      <c r="T26" s="1">
        <v>219</v>
      </c>
      <c r="U26" s="2">
        <v>1658</v>
      </c>
      <c r="V26" s="2">
        <v>8</v>
      </c>
      <c r="W26" s="4">
        <v>1634</v>
      </c>
      <c r="X26" s="1">
        <v>449</v>
      </c>
      <c r="Y26" s="4">
        <v>34701</v>
      </c>
      <c r="Z26" s="1">
        <v>50</v>
      </c>
      <c r="AA26" s="1">
        <v>1647</v>
      </c>
      <c r="AB26" s="1">
        <v>1</v>
      </c>
      <c r="AC26" s="2">
        <v>870000</v>
      </c>
      <c r="AD26">
        <f t="shared" si="0"/>
        <v>14</v>
      </c>
      <c r="AE26" s="3">
        <f t="shared" si="1"/>
        <v>52838</v>
      </c>
      <c r="AF26">
        <f t="shared" si="2"/>
        <v>1098</v>
      </c>
      <c r="AG26">
        <f t="shared" si="3"/>
        <v>2.0780498883379385E-2</v>
      </c>
      <c r="AH26" s="17">
        <v>8.8973024140000003</v>
      </c>
      <c r="AI26">
        <f t="shared" si="4"/>
        <v>33579.690353638005</v>
      </c>
      <c r="AJ26" s="2">
        <v>4</v>
      </c>
      <c r="AK26">
        <f t="shared" si="5"/>
        <v>0.14285714285714285</v>
      </c>
      <c r="AL26">
        <f t="shared" si="6"/>
        <v>5.8282208588957052E-2</v>
      </c>
      <c r="AM26">
        <f>((C26-1)/(58-1))</f>
        <v>0.10526315789473684</v>
      </c>
      <c r="AN26">
        <f t="shared" si="8"/>
        <v>4.5454545454545456E-2</v>
      </c>
      <c r="AO26">
        <f t="shared" si="9"/>
        <v>3</v>
      </c>
      <c r="AP26">
        <f t="shared" si="10"/>
        <v>0</v>
      </c>
      <c r="AQ26">
        <f t="shared" si="11"/>
        <v>5.3812969400634889E-2</v>
      </c>
      <c r="AR26">
        <f t="shared" si="12"/>
        <v>5737376.96519998</v>
      </c>
      <c r="AS26" s="2">
        <v>5</v>
      </c>
      <c r="AT26">
        <f t="shared" si="13"/>
        <v>4.6153846153846156E-2</v>
      </c>
      <c r="AU26">
        <f t="shared" si="14"/>
        <v>7.7590507651857349E-2</v>
      </c>
      <c r="AV26">
        <f t="shared" si="15"/>
        <v>188861.46668364038</v>
      </c>
      <c r="AW26" s="2">
        <v>1</v>
      </c>
      <c r="AX26">
        <f t="shared" si="16"/>
        <v>0.1</v>
      </c>
      <c r="AY26" s="2">
        <v>1</v>
      </c>
      <c r="AZ26">
        <f t="shared" si="17"/>
        <v>0</v>
      </c>
      <c r="BA26">
        <f t="shared" si="18"/>
        <v>8.4399649430324269E-2</v>
      </c>
      <c r="BB26">
        <f t="shared" si="19"/>
        <v>547650.21362900245</v>
      </c>
      <c r="BC26" s="2">
        <v>1</v>
      </c>
      <c r="BD26">
        <f t="shared" si="20"/>
        <v>4.3478260869565216E-2</v>
      </c>
      <c r="BE26">
        <f t="shared" si="21"/>
        <v>6.2851871002465545E-2</v>
      </c>
      <c r="BF26">
        <f t="shared" si="22"/>
        <v>709356.48669559974</v>
      </c>
      <c r="BG26">
        <f t="shared" si="23"/>
        <v>0</v>
      </c>
      <c r="BH26">
        <f t="shared" si="24"/>
        <v>0</v>
      </c>
      <c r="BI26">
        <f t="shared" si="25"/>
        <v>4.7832108156615746E-2</v>
      </c>
      <c r="BJ26">
        <f t="shared" si="26"/>
        <v>556545.17119597283</v>
      </c>
      <c r="BK26">
        <f t="shared" si="27"/>
        <v>7</v>
      </c>
      <c r="BL26">
        <f t="shared" si="28"/>
        <v>3.8461538461538464E-2</v>
      </c>
      <c r="BM26">
        <f t="shared" si="29"/>
        <v>6.3304793366143058E-2</v>
      </c>
      <c r="BN26">
        <f t="shared" si="30"/>
        <v>233027.02083064665</v>
      </c>
      <c r="BO26">
        <f t="shared" si="31"/>
        <v>6</v>
      </c>
      <c r="BP26">
        <f t="shared" si="32"/>
        <v>5.3333333333333337E-2</v>
      </c>
      <c r="BQ26">
        <f t="shared" si="33"/>
        <v>7.0157225187900032E-2</v>
      </c>
      <c r="BR26">
        <f t="shared" si="34"/>
        <v>207223.02094386984</v>
      </c>
      <c r="BS26">
        <f t="shared" si="35"/>
        <v>6.5707017742277274E-2</v>
      </c>
    </row>
    <row r="27" spans="1:7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</row>
    <row r="28" spans="1:7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7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7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71" x14ac:dyDescent="0.2">
      <c r="A31" s="1"/>
      <c r="B31" s="1" t="s">
        <v>60</v>
      </c>
      <c r="C31" s="1" t="s">
        <v>60</v>
      </c>
      <c r="D31" s="1"/>
      <c r="E31" s="1"/>
      <c r="F31" s="1"/>
      <c r="G31" s="1"/>
      <c r="H31" s="1"/>
      <c r="I31" s="1"/>
      <c r="J31" s="1"/>
      <c r="K31" s="1"/>
      <c r="L31" s="1"/>
      <c r="M31" s="1" t="s">
        <v>60</v>
      </c>
      <c r="N31" s="1"/>
      <c r="O31" s="1"/>
      <c r="P31" s="1"/>
      <c r="Q31" s="1"/>
      <c r="R31" s="1"/>
      <c r="S31" s="1"/>
      <c r="T31" s="1"/>
      <c r="U31" s="1"/>
      <c r="V31" s="1"/>
      <c r="AJ31" t="s">
        <v>60</v>
      </c>
      <c r="AO31" t="s">
        <v>60</v>
      </c>
      <c r="AS31" t="s">
        <v>60</v>
      </c>
      <c r="AW31" t="s">
        <v>60</v>
      </c>
      <c r="AY31" t="s">
        <v>60</v>
      </c>
      <c r="BC31" t="s">
        <v>60</v>
      </c>
      <c r="BG31" t="s">
        <v>60</v>
      </c>
      <c r="BK31" t="s">
        <v>60</v>
      </c>
      <c r="BO31" t="s">
        <v>60</v>
      </c>
    </row>
    <row r="32" spans="1:71" x14ac:dyDescent="0.2">
      <c r="A32" s="1"/>
      <c r="B32" s="1">
        <f>MIN(B2:B26)</f>
        <v>3</v>
      </c>
      <c r="C32" s="1">
        <f>MIN(C2:C26)</f>
        <v>1</v>
      </c>
      <c r="D32" s="1"/>
      <c r="E32" s="1"/>
      <c r="F32" s="1"/>
      <c r="G32" s="1"/>
      <c r="H32" s="1"/>
      <c r="I32" s="1"/>
      <c r="J32" s="1"/>
      <c r="K32" s="1"/>
      <c r="L32" s="1"/>
      <c r="M32" s="1">
        <f>MIN(M2:M26)</f>
        <v>0</v>
      </c>
      <c r="N32" s="1"/>
      <c r="O32" s="1"/>
      <c r="P32" s="1"/>
      <c r="Q32" s="1"/>
      <c r="R32" s="1"/>
      <c r="S32" s="1"/>
      <c r="T32" s="1"/>
      <c r="U32" s="1"/>
      <c r="V32" s="1"/>
      <c r="AJ32">
        <f>MIN(AJ2:AJ26)</f>
        <v>2</v>
      </c>
      <c r="AO32">
        <f>MIN(AO2:AO26)</f>
        <v>3</v>
      </c>
      <c r="AS32">
        <f>MIN(AS2:AS26)</f>
        <v>2</v>
      </c>
      <c r="AW32">
        <f>MIN(AW2:AW26)</f>
        <v>0</v>
      </c>
      <c r="AY32">
        <f>MIN(AY2:AY26)</f>
        <v>1</v>
      </c>
      <c r="BC32">
        <f>MIN(BC2:BC26)</f>
        <v>0</v>
      </c>
      <c r="BG32">
        <f>MIN(BG2:BG26)</f>
        <v>0</v>
      </c>
      <c r="BK32">
        <f>MIN(BK2:BK26)</f>
        <v>3</v>
      </c>
      <c r="BO32">
        <f>MIN(BO2:BO26)</f>
        <v>2</v>
      </c>
    </row>
    <row r="33" spans="1:67" x14ac:dyDescent="0.2">
      <c r="A33" s="1"/>
      <c r="B33" s="1" t="s">
        <v>61</v>
      </c>
      <c r="C33" s="1" t="s">
        <v>61</v>
      </c>
      <c r="D33" s="1"/>
      <c r="E33" s="1"/>
      <c r="F33" s="1"/>
      <c r="G33" s="1"/>
      <c r="H33" s="1"/>
      <c r="I33" s="1"/>
      <c r="J33" s="1"/>
      <c r="K33" s="1"/>
      <c r="L33" s="1"/>
      <c r="M33" s="1" t="s">
        <v>61</v>
      </c>
      <c r="N33" s="1"/>
      <c r="O33" s="1"/>
      <c r="P33" s="1"/>
      <c r="Q33" s="1"/>
      <c r="R33" s="1"/>
      <c r="S33" s="1"/>
      <c r="T33" s="1"/>
      <c r="U33" s="1"/>
      <c r="V33" s="1"/>
      <c r="AJ33" t="s">
        <v>61</v>
      </c>
      <c r="AO33" t="s">
        <v>61</v>
      </c>
      <c r="AS33" t="s">
        <v>61</v>
      </c>
      <c r="AW33" t="s">
        <v>61</v>
      </c>
      <c r="AY33" t="s">
        <v>61</v>
      </c>
      <c r="BC33" t="s">
        <v>61</v>
      </c>
      <c r="BG33" t="s">
        <v>61</v>
      </c>
      <c r="BK33" t="s">
        <v>61</v>
      </c>
      <c r="BO33" t="s">
        <v>61</v>
      </c>
    </row>
    <row r="34" spans="1:67" x14ac:dyDescent="0.2">
      <c r="A34" s="1"/>
      <c r="B34" s="1">
        <f>MAX(B2:B26)</f>
        <v>329</v>
      </c>
      <c r="C34" s="1">
        <f>MAX(C2:C26)</f>
        <v>58</v>
      </c>
      <c r="D34" s="1"/>
      <c r="E34" s="1"/>
      <c r="F34" s="1"/>
      <c r="G34" s="1"/>
      <c r="H34" s="1"/>
      <c r="I34" s="1"/>
      <c r="J34" s="1"/>
      <c r="K34" s="1"/>
      <c r="L34" s="1"/>
      <c r="M34" s="1">
        <f>MAX(M2:M26)</f>
        <v>44</v>
      </c>
      <c r="N34" s="1"/>
      <c r="O34" s="1"/>
      <c r="P34" s="1"/>
      <c r="Q34" s="1"/>
      <c r="R34" s="1"/>
      <c r="S34" s="1"/>
      <c r="T34" s="1"/>
      <c r="U34" s="1"/>
      <c r="V34" s="1"/>
      <c r="AJ34">
        <f>MAX(AJ2:AJ26)</f>
        <v>16</v>
      </c>
      <c r="AO34">
        <f>MAX(AO2:AO26)</f>
        <v>80</v>
      </c>
      <c r="AS34">
        <f>MAX(AS2:AS26)</f>
        <v>67</v>
      </c>
      <c r="AW34">
        <f>MAX(AW2:AW26)</f>
        <v>10</v>
      </c>
      <c r="AY34">
        <f>MAX(AY2:AY26)</f>
        <v>40</v>
      </c>
      <c r="BC34">
        <f>MAX(BC2:BC26)</f>
        <v>23</v>
      </c>
      <c r="BG34">
        <f>MAX(BG2:BG26)</f>
        <v>25</v>
      </c>
      <c r="BK34">
        <f>MAX(BK2:BK26)</f>
        <v>107</v>
      </c>
      <c r="BO34">
        <f>MAX(BO2:BO26)</f>
        <v>77</v>
      </c>
    </row>
    <row r="35" spans="1:6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6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6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6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6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6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6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6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6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6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6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6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6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6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Sonath Kirindage</dc:creator>
  <cp:lastModifiedBy>Sonath Kirindage</cp:lastModifiedBy>
  <dcterms:created xsi:type="dcterms:W3CDTF">2026-04-09T21:28:27Z</dcterms:created>
  <dcterms:modified xsi:type="dcterms:W3CDTF">2026-04-11T12:00:24Z</dcterms:modified>
</cp:coreProperties>
</file>